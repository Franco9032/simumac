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Notas" sheetId="1" state="visible" r:id="rId3"/>
    <sheet name="01_Inventario_Fuentes" sheetId="2" state="visible" r:id="rId4"/>
    <sheet name="02_PIB_Actividad_Trimestral" sheetId="3" state="visible" r:id="rId5"/>
    <sheet name="03_PIB_Gasto_Trimestral" sheetId="4" state="visible" r:id="rId6"/>
    <sheet name="04_Inversion_Publica_VIPFE" sheetId="5" state="visible" r:id="rId7"/>
    <sheet name="05_Conversion_y_Residual" sheetId="6" state="visible" r:id="rId8"/>
    <sheet name="06_Fiscal_SPNF_Anual" sheetId="7" state="visible" r:id="rId9"/>
    <sheet name="07_IDH_Renta_Deuda" sheetId="8" state="visible" r:id="rId10"/>
    <sheet name="08_Agregados_Base_Monetaria" sheetId="9" state="visible" r:id="rId11"/>
    <sheet name="09_Financiamiento_BCB" sheetId="10" state="visible" r:id="rId12"/>
    <sheet name="10_Tasas_Interes_Encaje" sheetId="11" state="visible" r:id="rId13"/>
    <sheet name="11_Credito_Depositos_SistFin" sheetId="12" state="visible" r:id="rId14"/>
    <sheet name="12_RIN_BalanzaPagos_Comercio" sheetId="13" state="visible" r:id="rId15"/>
    <sheet name="13_Remesas" sheetId="14" state="visible" r:id="rId16"/>
    <sheet name="14_Deuda_Externa_Publica" sheetId="15" state="visible" r:id="rId17"/>
    <sheet name="15_IPC_General_Alimentos" sheetId="16" state="visible" r:id="rId18"/>
    <sheet name="16_IPC_Nucleo_Subyacente" sheetId="17" state="visible" r:id="rId19"/>
    <sheet name="17_Precio_Gas_Natural" sheetId="18" state="visible" r:id="rId20"/>
    <sheet name="18_Choque_Alimentos_2013" sheetId="19" state="visible" r:id="rId21"/>
    <sheet name="19_Empleo_Salarios_Pobreza" sheetId="20" state="visible" r:id="rId22"/>
    <sheet name="20_Commodities_No_Gasiferos" sheetId="21" state="visible" r:id="rId23"/>
    <sheet name="21_Indice_ENSO_ONI"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<sst xmlns="http://schemas.openxmlformats.org/spreadsheetml/2006/main" count="1219" uniqueCount="659">
  <si>
    <t xml:space="preserve">Notas Metodológicas y Limitaciones — SimuMon, Bloques 1-7 (COMPLETO)</t>
  </si>
  <si>
    <t xml:space="preserve">Estado del Bloque 1: COMPLETO</t>
  </si>
  <si>
    <t xml:space="preserve">Con el cierre del TC 2010-2011, no queda ningún punto pendiente del listado original del Bloque 1. La única apertura opcional (no crítica) es un desglose de exportaciones/importaciones por producto o socio comercial, que pertenece al Bloque 4 y no bloquea el uso de este archivo.</t>
  </si>
  <si>
    <t xml:space="preserve">Frecuencia mixta dentro del Bloque 1</t>
  </si>
  <si>
    <t xml:space="preserve">PIB y FBKF son trimestrales (INE); Inversión pública ejecutada es anual (VIPFE/UDAPE). El dato anual de VIPFE se muestra una sola vez por año en la Hoja 04, NUNCA repartido en los 4 trimestres — hacerlo constituiría una interpolación silenciosa, el mismo error que se identificó y corrigió en el motor de v5.</t>
  </si>
  <si>
    <t xml:space="preserve">Columna "Ejecutado" vs. "Programado" en VIPFE</t>
  </si>
  <si>
    <t xml:space="preserve">Se usó exclusivamente la columna "Ejecutado". La columna "Programado" es presupuesto, no gasto real, y se descartó en su totalidad para evitar contaminar el panel con cifras no ejecutadas.</t>
  </si>
  <si>
    <t xml:space="preserve">Verificación cruzada de consistencia</t>
  </si>
  <si>
    <t xml:space="preserve">Los totales de Inversión Pública Ejecutada de los Cuadros 3.7.1 y 3.7.2 coinciden exactamente entre sí para los 5 años (misma fuente VIPFE), y coinciden además con los valores que ya estaban hardcodeados en scriptv5.js (gráfico c-inv). Esto confirma la procedencia del dato que el simulador v5 ya usaba, y ahora tenemos su desagregación sectorial y por fuente de financiamiento.</t>
  </si>
  <si>
    <t xml:space="preserve">Tipo de cambio: corrección respecto a supuestos previos de esta conversación — RESUELTO</t>
  </si>
  <si>
    <t xml:space="preserve">En turnos anteriores se asumió un TC fijo de 6.96 Bs/USD para todo 2010-2014. Al verificar, el TC de 6.96 solo rige desde el 2 de noviembre de 2011; 2010 y gran parte de 2011 tuvieron un TC distinto (apreciación gradual desde ~7.07 en 2008). Se cerró con las planillas oficiales del BCB de cotizaciones diarias 2010 y 2011 (tabla mensual auxiliar en Hoja 04). El TC anual usado es el promedio simple de los 12 promedios mensuales de venta oficial — una aproximación razonable, no ponderada por el flujo mensual real de ejecución de inversión (esa granularidad de inversión no existe públicamente).</t>
  </si>
  <si>
    <t xml:space="preserve">Criterio de tipo de cambio: DECIDIDO — (A) venta-promedio es el principal</t>
  </si>
  <si>
    <t xml:space="preserve">La inversión pública ejecutada es un flujo anual, así que corresponde un TC promedio del período, no uno de corte puntual. Por eso (A) venta-promedio-diario (Hoja 04) es el criterio que se usa y cita en el resto del análisis. (B) compra-fin-de-mes (Cuadro 1.4.4.1 del BCB, el que ASFI usa para revalorizar balances bancarios) se mantiene solo como verificación de sensibilidad — confirma que la elección no cambia la conclusión (diferencia bajo 1.5%), pero no es un criterio igualmente válido para convertir flujos de gasto.</t>
  </si>
  <si>
    <t xml:space="preserve">Comparabilidad FBKF (INE) vs. Inversión Pública Ejecutada (VIPFE)</t>
  </si>
  <si>
    <t xml:space="preserve">Distinta cobertura institucional y distinto criterio de valoración (devengado vs. pagado). El residuo (Privada = FBKF − Pública) es una ESTIMACION, no una serie oficial de inversión privada. Debe citarse con esa salvedad en cualquier documento de publicación.</t>
  </si>
  <si>
    <t xml:space="preserve">Deflactores del INE recibidos pero no usados aún</t>
  </si>
  <si>
    <t xml:space="preserve">Los archivos 01_02_03, 02_02_03 y 03_02_03 (deflactores implícitos oficiales) están disponibles y guardados, pero no se emplearon en esta primera limpieza porque el Bloque 1 original no los pedía. Quedan disponibles para cuando se necesite deflactar series adicionales sin tener que calcular un deflactor implícito propio.</t>
  </si>
  <si>
    <t xml:space="preserve">Bloque 2 (Fiscal): estado — COMPLETO, con un hallazgo relevante para el Canal C</t>
  </si>
  <si>
    <t xml:space="preserve">Se incorporaron ingresos, egresos y balance fiscal consolidado del SPNF (Hoja 06), y recaudación de renta interna, IDH nacional y deuda interna del Tesoro (Hoja 07). Hallazgo importante: el Crédito Interno Neto (CIN) al Sector Público fue NEGATIVO en 2010-2013 y solo se vuelve positivo en 2014 (primer año de déficit del período). Esto matiza la narrativa del Canal C del artículo v1, que debe revisarse para reflejar que ese canal se activa con el déficit, no durante el propio superciclo de superávit.</t>
  </si>
  <si>
    <t xml:space="preserve">IDH "aplicado a inversión" no es IDH nacional total</t>
  </si>
  <si>
    <t xml:space="preserve">La fila de IDH en el Cuadro 3.7.2 de VIPFE es la porción del IDH que financió inversión pública, no la recaudación total del impuesto (que también se distribuye a universidades, gobernaciones, Fondo Indígena, etc. por Ley 3058). Para el IDH nacional total hace falta una fuente fiscal distinta, pendiente dentro del Bloque 2.</t>
  </si>
  <si>
    <t xml:space="preserve">Terminología: "Renta Interna" no significa lo mismo en todas las fuentes fiscales</t>
  </si>
  <si>
    <t xml:space="preserve">El Cuadro 3.4.1 (SIN) define "Renta Interna" como TODO lo recaudado por el SIN, incluido el IDH. El Cuadro 3.1.1 (presentación consolidada SPNF) usa "RENTA INTERNA" como categoría más angosta que excluye impuestos hidrocarburíferos. Verificado numéricamente (Hoja 07): INGRESOS TRIBUTARIOS (Hoja 06) ≈ TOTAL GENERAL (Hoja 07) menos IDH, con solo 1.5% de diferencia residual. Nunca sumar ambas cifras de "Renta Interna" entre sí.</t>
  </si>
  <si>
    <t xml:space="preserve">Bloque 3 (Monetario): estado — COMPLETO</t>
  </si>
  <si>
    <t xml:space="preserve">M1-M4 mensual, Base Monetaria y CIN monetario (Hoja 08); Financiamiento neto BCB al Sector Público por sub-sector, financiamiento al Sistema Financiero, y Deuda interna del BCB con el Sector Privado (Hoja 09); tasas activas/pasivas y tasas de encaje legal (Hoja 10); crédito al sector privado y depósitos por moneda (Hoja 11). Los depósitos por moneda se encontraron en la pestaña "Pasivo" del archivo "1. Sistema Financiero" (Balances Consolidados) — la pestaña "Activo" del mismo archivo ya se había usado para crédito al sector privado; conviene revisar ambas pestañas de cualquier balance consolidado en el futuro.</t>
  </si>
  <si>
    <t xml:space="preserve">Tres series de "Crédito Neto al Sector Público" — no son intercambiables</t>
  </si>
  <si>
    <t xml:space="preserve">Existen tres versiones: (1) fiscal, Hoja 06, Cuadro 3.1.1; (2) monetaria agregada, Hoja 08, balance del BCB; (3) monetaria desagregada por sub-sector, Hoja 09, Cuadro "Financiamiento neto al Sector Público". Describen la misma relación desde ópticas distintas (fiscal vs. monetaria) y no deberían ser numéricamente idénticas, pero sí deberían moverse de forma consistente entre sí — vale la pena graficarlas juntas al redactar el artículo.</t>
  </si>
  <si>
    <t xml:space="preserve">Hallazgo: dolarización decreciente y su implicancia para θ_MF</t>
  </si>
  <si>
    <t xml:space="preserve">La dolarización de depósitos (Hoja 11) cae de ~44% (2010) a ~19% (2014) de forma sostenida — consistente con la "bolivianización" documentada en la literatura del BCB. Esto sugiere que θ_MF en el motor v5 (hoy una constante fija) debería modelarse como una función decreciente de la dolarización dentro del propio período 2010-2014, no como un parámetro fijo — es un punto a resolver en el rediseño del motor.</t>
  </si>
  <si>
    <t xml:space="preserve">Bloque 4 (Sector Externo): estado — COMPLETO</t>
  </si>
  <si>
    <t xml:space="preserve">RIN, Balanza de Pagos y Comercio Exterior (Hoja 12), Remesas (Hoja 13), Deuda Externa Pública (Hoja 14).</t>
  </si>
  <si>
    <t xml:space="preserve">Hallazgo confirmado: φ_t es matemáticamente inerte en 2010-2014</t>
  </si>
  <si>
    <t xml:space="preserve">Las RIN se mantienen por encima de 15 meses de importación durante TODO el período (Hoja 12), muy por encima del umbral de alerta de 6 meses del motor v5. Esto confirma cuantitativamente lo que se anticipaba en el marco teórico: la restricción externa nunca se activa con los datos de este período — el mecanismo está bien especificado pero no ha sido puesto a prueba, y no debe describirse como "validado" por este rango temporal.</t>
  </si>
  <si>
    <t xml:space="preserve">Hallazgo: deuda externa pública casi se duplica en el período</t>
  </si>
  <si>
    <t xml:space="preserve">De 2,891 millones USD (2010) a 5,736 millones USD (2014), Hoja 14 — coincide con el año de quiebre fiscal (2014). Los totales por deudor y por acreedor son consistentes entre sí.</t>
  </si>
  <si>
    <t xml:space="preserve">Bloque 5 (Precios): estado — COMPLETO</t>
  </si>
  <si>
    <t xml:space="preserve">IPC general, alimentos e inflación a 12 meses (Hoja 15); núcleo y subyacente (Hoja 16); precio de exportación de gas natural con verificación cruzada entre dos fuentes (Hoja 17); choque de alimentos 2013 a nivel de producto individual (Hoja 18).</t>
  </si>
  <si>
    <t xml:space="preserve">Precio del gas natural: sin serie oficial publicada, se calculó por dos vías y se verificó</t>
  </si>
  <si>
    <t xml:space="preserve">Se usó Valor/Volumen de "Exportación de Hidrocarburos" (USD/m³, 2012-2014) y Valor/Peso de "Exportaciones según Actividad y Producto" (USD/tonelada, 2010-2014). El valor exportado de 2012 coincide entre ambas fuentes con diferencia menor a 0.001% — confirma que describen la misma transacción. Se recomienda usar la serie en USD/tonelada como principal por tener unidad consistente en los 5 años (Hoja 17).</t>
  </si>
  <si>
    <t xml:space="preserve">Hallazgo: el choque de 2013 fue de oferta (alimentos), no de demanda generalizada</t>
  </si>
  <si>
    <t xml:space="preserve">Núcleo y subyacente a 12 meses (Hoja 16) quedan ~2.3 puntos porcentuales por debajo de la inflación general a 12 meses en diciembre de 2013 (Hoja 15). A nivel de producto (Hoja 18), papa y tomate casi se duplican entre mayo y octubre de 2013 — evidencia verificable que reemplaza la mención descriptiva sin respaldo del artículo v1 sobre el "choque papa/tomate/pollo".</t>
  </si>
  <si>
    <t xml:space="preserve">Bloque 6 (Laboral/Social) y Bloque 7 (Contexto): estado — COMPLETOS</t>
  </si>
  <si>
    <t xml:space="preserve">Salario mínimo con decreto (Hoja 19A), empleo y desempleo (19B), pobreza (19C), afiliación SIP (19D); commodities zinc/estaño/plata/soya (Hoja 20); índice ONI (Hoja 21). Con esto los 7 bloques de datos del proyecto quedan completos.</t>
  </si>
  <si>
    <t xml:space="preserve">2010 sin Encuesta de Hogares — hallazgo real, no un vacío de recolección</t>
  </si>
  <si>
    <t xml:space="preserve">El INE no levantó la Encuesta de Hogares en 2010 (confirmado en la nota de fuente del propio cuadro UDAPE: "...2008, 2009, 2011, 2012..."). Empleo y pobreza para 2010 quedan marcados explícitamente como "sin encuesta" en la Hoja 19, sin interpolar.</t>
  </si>
  <si>
    <t xml:space="preserve">Hallazgo: el choque de alimentos 2013 no coincide con un evento ENSO marcado</t>
  </si>
  <si>
    <t xml:space="preserve">El ONI de agosto-octubre 2013 (Hoja 21) está prácticamente neutral (-0.13 a -0.21), sin El Niño ni La Niña definidos. El choque papa/tomate/pollo documentado en la Hoja 18 probablemente respondió a un factor de oferta interna, no a un evento climático de gran escala — evitar forzar esa narrativa en el artículo.</t>
  </si>
  <si>
    <t xml:space="preserve">SimuMon — Bloque 1 (Sector Real): Inventario de Fuentes</t>
  </si>
  <si>
    <t xml:space="preserve">Documentación de limpieza de datos — período 2010T1-2014T4</t>
  </si>
  <si>
    <t xml:space="preserve">Archivo original</t>
  </si>
  <si>
    <t xml:space="preserve">Cuadro / Código</t>
  </si>
  <si>
    <t xml:space="preserve">Institución</t>
  </si>
  <si>
    <t xml:space="preserve">Variable</t>
  </si>
  <si>
    <t xml:space="preserve">Cobertura recibida</t>
  </si>
  <si>
    <t xml:space="preserve">Frecuencia</t>
  </si>
  <si>
    <t xml:space="preserve">Unidad</t>
  </si>
  <si>
    <t xml:space="preserve">Uso en este workbook</t>
  </si>
  <si>
    <t xml:space="preserve">01_01_01.xlsx</t>
  </si>
  <si>
    <t xml:space="preserve">Cuadro 1.01.01</t>
  </si>
  <si>
    <t xml:space="preserve">INE</t>
  </si>
  <si>
    <t xml:space="preserve">PIB precios constantes 1990 por actividad económica</t>
  </si>
  <si>
    <t xml:space="preserve">1990-2024, trimestral</t>
  </si>
  <si>
    <t xml:space="preserve">Trimestral</t>
  </si>
  <si>
    <t xml:space="preserve">Miles Bs. de 1990</t>
  </si>
  <si>
    <t xml:space="preserve">Hoja 01 — panel completo por actividad</t>
  </si>
  <si>
    <t xml:space="preserve">01_02_01.xlsx</t>
  </si>
  <si>
    <t xml:space="preserve">Cuadro 1.02.01</t>
  </si>
  <si>
    <t xml:space="preserve">PIB precios corrientes por actividad económica</t>
  </si>
  <si>
    <t xml:space="preserve">Miles Bs corrientes</t>
  </si>
  <si>
    <t xml:space="preserve">01_02_03.xlsx</t>
  </si>
  <si>
    <t xml:space="preserve">Cuadro 1.02.03</t>
  </si>
  <si>
    <t xml:space="preserve">Deflactor implícito del PIB por actividad económica</t>
  </si>
  <si>
    <t xml:space="preserve">Índice (1990=100)</t>
  </si>
  <si>
    <t xml:space="preserve">No usado aún — disponible para Fase 2 (deflactores por sector)</t>
  </si>
  <si>
    <t xml:space="preserve">02_01_01.xlsx</t>
  </si>
  <si>
    <t xml:space="preserve">Cuadro 2.01.01</t>
  </si>
  <si>
    <t xml:space="preserve">PIB precios constantes 1990 por tipo de gasto (C,G,FBKF,X,M)</t>
  </si>
  <si>
    <t xml:space="preserve">Hoja 02 — panel completo por tipo de gasto</t>
  </si>
  <si>
    <t xml:space="preserve">02_02_01.xlsx</t>
  </si>
  <si>
    <t xml:space="preserve">Cuadro 2.02.01</t>
  </si>
  <si>
    <t xml:space="preserve">PIB precios corrientes por tipo de gasto</t>
  </si>
  <si>
    <t xml:space="preserve">Hoja 02 — panel completo, y FBKF nominal usada en Hoja 04</t>
  </si>
  <si>
    <t xml:space="preserve">02_02_03.xlsx</t>
  </si>
  <si>
    <t xml:space="preserve">Cuadro 2.02.03</t>
  </si>
  <si>
    <t xml:space="preserve">Deflactor implícito del PIB por tipo de gasto</t>
  </si>
  <si>
    <t xml:space="preserve">No usado aún — disponible para Fase 2</t>
  </si>
  <si>
    <t xml:space="preserve">03_02_03.xlsx</t>
  </si>
  <si>
    <t xml:space="preserve">Cuadro 3.02.03</t>
  </si>
  <si>
    <t xml:space="preserve">Deflactor implícito oferta y demanda final por componente</t>
  </si>
  <si>
    <t xml:space="preserve">3_7_1_inversion_publica_por_sectores.xls</t>
  </si>
  <si>
    <t xml:space="preserve">Cuadro 3.7.1</t>
  </si>
  <si>
    <t xml:space="preserve">UDAPE / VIPFE (MPD)</t>
  </si>
  <si>
    <t xml:space="preserve">Inversión pública ejecutada por sector</t>
  </si>
  <si>
    <t xml:space="preserve">1990-2022, anual</t>
  </si>
  <si>
    <t xml:space="preserve">Anual</t>
  </si>
  <si>
    <t xml:space="preserve">Miles USD</t>
  </si>
  <si>
    <t xml:space="preserve">Hoja 03 — bloque 2008-2014, columna "Ejec."</t>
  </si>
  <si>
    <t xml:space="preserve">3_7_2_inversion_publica_por_fuente_de_financiamiento.xls</t>
  </si>
  <si>
    <t xml:space="preserve">Cuadro 3.7.2</t>
  </si>
  <si>
    <t xml:space="preserve">Inversión pública por fuente de financiamiento (incl. IDH aplicado a inversión)</t>
  </si>
  <si>
    <t xml:space="preserve">Hoja 03 — bloque 2010-2014</t>
  </si>
  <si>
    <t xml:space="preserve">Imagen: Cotizaciones Oficiales del Boliviano (2010)</t>
  </si>
  <si>
    <t xml:space="preserve">s/n</t>
  </si>
  <si>
    <t xml:space="preserve">BCB, Gerencia de Operaciones Internacionales</t>
  </si>
  <si>
    <t xml:space="preserve">Tipo de cambio oficial diario y promedio mensual, venta/compra</t>
  </si>
  <si>
    <t xml:space="preserve">2010, diario y PROM mensual</t>
  </si>
  <si>
    <t xml:space="preserve">Diario/Mensual</t>
  </si>
  <si>
    <t xml:space="preserve">Bs/USD</t>
  </si>
  <si>
    <t xml:space="preserve">Hoja 04 — tabla auxiliar, cierra el TC 2010</t>
  </si>
  <si>
    <t xml:space="preserve">Imagen: Cotizaciones Oficiales del Boliviano (2011)</t>
  </si>
  <si>
    <t xml:space="preserve">2011, diario y PROM mensual</t>
  </si>
  <si>
    <t xml:space="preserve">Hoja 04 — tabla auxiliar (A), cierra el TC venta 2011</t>
  </si>
  <si>
    <t xml:space="preserve">1_4_4_1_tipo_de_cambio_para_ajuste_de_cuentas_bancarias.xls</t>
  </si>
  <si>
    <t xml:space="preserve">Cuadro 1.4.4.1</t>
  </si>
  <si>
    <t xml:space="preserve">BCB, Sector Monetario</t>
  </si>
  <si>
    <t xml:space="preserve">TC compra de fin de mes, usado por ASFI para ajuste de cuentas bancarias</t>
  </si>
  <si>
    <t xml:space="preserve">1980-2024, mensual</t>
  </si>
  <si>
    <t xml:space="preserve">Mensual</t>
  </si>
  <si>
    <t xml:space="preserve">Hoja 04 — tabla auxiliar (B), criterio de TC alternativo</t>
  </si>
  <si>
    <t xml:space="preserve">1_3_1_1Operaciones_consolidadas_del_sector_publico_no_financiero.xls</t>
  </si>
  <si>
    <t xml:space="preserve">Cuadro 3.1.1</t>
  </si>
  <si>
    <t xml:space="preserve">UDAPE/MEFP</t>
  </si>
  <si>
    <t xml:space="preserve">Ingresos, egresos, balance fiscal (SUP/DÉF) y Crédito Interno/Externo Neto del SPNF</t>
  </si>
  <si>
    <t xml:space="preserve">1990-2024, anual</t>
  </si>
  <si>
    <t xml:space="preserve">Millones Bs</t>
  </si>
  <si>
    <t xml:space="preserve">Hoja 06 — Bloque 2 completo</t>
  </si>
  <si>
    <t xml:space="preserve">1_3_4_1_recaudacion_por_actividad_y_tipo_de_impuesto.xls</t>
  </si>
  <si>
    <t xml:space="preserve">Cuadro 3.4.1</t>
  </si>
  <si>
    <t xml:space="preserve">UDAPE/SIN</t>
  </si>
  <si>
    <t xml:space="preserve">Recaudación Renta Interna por tipo de impuesto (incl. IDH nacional total)</t>
  </si>
  <si>
    <t xml:space="preserve">1987-2024, anual</t>
  </si>
  <si>
    <t xml:space="preserve">Miles Bs</t>
  </si>
  <si>
    <t xml:space="preserve">Hoja 07 — IDH nacional total</t>
  </si>
  <si>
    <t xml:space="preserve">1_3_4_3_recaudacion_por_actividad_y_tipo_de_impuesto_sector_hidrocarburos.xls</t>
  </si>
  <si>
    <t xml:space="preserve">Cuadro 3.4.3</t>
  </si>
  <si>
    <t xml:space="preserve">Recaudación por actividad (upstream/downstream) del sector hidrocarburos</t>
  </si>
  <si>
    <t xml:space="preserve">2000-2024, anual</t>
  </si>
  <si>
    <t xml:space="preserve">No tabulado aún — disponible para desagregación futura del canal fiscal-gas</t>
  </si>
  <si>
    <t xml:space="preserve">1_3_9_1_stock_de_la_deuda_publica_interna_del_tesoro.xls</t>
  </si>
  <si>
    <t xml:space="preserve">Cuadro 3.9.1</t>
  </si>
  <si>
    <t xml:space="preserve">Stock de deuda pública interna del TGN, por tenedor</t>
  </si>
  <si>
    <t xml:space="preserve">1993-2022, anual</t>
  </si>
  <si>
    <t xml:space="preserve">Millones USD</t>
  </si>
  <si>
    <t xml:space="preserve">Hoja 07 — Deuda interna del SPNF</t>
  </si>
  <si>
    <t xml:space="preserve">7__Agregados_Monetarios.xlsx</t>
  </si>
  <si>
    <t xml:space="preserve">M1, M1prime, M2, M2prime, M3, M3prime, M4, M4prime</t>
  </si>
  <si>
    <t xml:space="preserve">1987-2024, mensual</t>
  </si>
  <si>
    <t xml:space="preserve">Hoja 08 — agregados monetarios</t>
  </si>
  <si>
    <t xml:space="preserve">2__Base_Monetaria__Determinantes_y_Componentes.xlsx</t>
  </si>
  <si>
    <t xml:space="preserve">Base Monetaria y Crédito Neto al Sector Público (lado monetario)</t>
  </si>
  <si>
    <t xml:space="preserve">2001-2024, mensual</t>
  </si>
  <si>
    <t xml:space="preserve">Hoja 08 — BM y CNSP monetario</t>
  </si>
  <si>
    <t xml:space="preserve">1__Base_Monetaria.xlsx</t>
  </si>
  <si>
    <t xml:space="preserve">Base Monetaria y componentes, versión anual (respaldo/cross-check)</t>
  </si>
  <si>
    <t xml:space="preserve">1970-2022, anual</t>
  </si>
  <si>
    <t xml:space="preserve">No tabulado — respaldo de Hoja 08</t>
  </si>
  <si>
    <t xml:space="preserve">4__Encaje_Legal.xlsx</t>
  </si>
  <si>
    <t xml:space="preserve">BCB, Tasas Monetarias</t>
  </si>
  <si>
    <t xml:space="preserve">Tasas de encaje legal por tipo de depósito y moneda</t>
  </si>
  <si>
    <t xml:space="preserve">1988-2024, mensual</t>
  </si>
  <si>
    <t xml:space="preserve">%</t>
  </si>
  <si>
    <t xml:space="preserve">Hoja 10 — tasas de encaje legal</t>
  </si>
  <si>
    <t xml:space="preserve">1__Deuda_interna_con_el_Sector_Privado.xlsx</t>
  </si>
  <si>
    <t xml:space="preserve">Deuda interna del BCB con el sector privado (Letras, Bonos, BCB Directo, RAL)</t>
  </si>
  <si>
    <t xml:space="preserve">2000-2021, anual/mensual</t>
  </si>
  <si>
    <t xml:space="preserve">Anual (2010-2014)</t>
  </si>
  <si>
    <t xml:space="preserve">Hoja 09 — deuda interna con sector privado</t>
  </si>
  <si>
    <t xml:space="preserve">2__Financiamiento_a_largo_plazo_al_Sistema_Financiero.xlsx</t>
  </si>
  <si>
    <t xml:space="preserve">Financiamiento del BCB a bancos, largo plazo</t>
  </si>
  <si>
    <t xml:space="preserve">1985-2024, mensual</t>
  </si>
  <si>
    <t xml:space="preserve">Hoja 09 — financiamiento a bancos</t>
  </si>
  <si>
    <t xml:space="preserve">3__Financiamiento_neto_al_Sector_Público.xlsx</t>
  </si>
  <si>
    <t xml:space="preserve">Financiamiento neto del BCB al Sector Público, por sub-sector</t>
  </si>
  <si>
    <t xml:space="preserve">Hoja 09 — CNSP desagregado por sub-sector</t>
  </si>
  <si>
    <t xml:space="preserve">1_4_2_1_tasas_de_interes_anuales_activas_del_sistema_bancario.xls</t>
  </si>
  <si>
    <t xml:space="preserve">Cuadro 1.4.2.1</t>
  </si>
  <si>
    <t xml:space="preserve">BCB</t>
  </si>
  <si>
    <t xml:space="preserve">Tasas activas MN/ME por plazo</t>
  </si>
  <si>
    <t xml:space="preserve">1994-2024, mensual</t>
  </si>
  <si>
    <t xml:space="preserve">Hoja 10 — tasas activas</t>
  </si>
  <si>
    <t xml:space="preserve">1_4_2_2_tasas_de_interes_anuales_pasivas_del_sistema_bancario.xls</t>
  </si>
  <si>
    <t xml:space="preserve">Cuadro 1.4.2.2</t>
  </si>
  <si>
    <t xml:space="preserve">Tasas pasivas MN/ME por tipo de depósito y plazo</t>
  </si>
  <si>
    <t xml:space="preserve">Hoja 10 — tasas pasivas</t>
  </si>
  <si>
    <t xml:space="preserve">1__Sistema_Financiero.xlsx</t>
  </si>
  <si>
    <t xml:space="preserve">BCB, Balances Consolidados</t>
  </si>
  <si>
    <t xml:space="preserve">Balance consolidado del sistema financiero (Activo: crédito privado; Pasivo: depósitos por moneda)</t>
  </si>
  <si>
    <t xml:space="preserve">1996-2026, mensual</t>
  </si>
  <si>
    <t xml:space="preserve">Hoja 11 — crédito privado y depósitos por moneda</t>
  </si>
  <si>
    <t xml:space="preserve">2__Sistema_Bancario.xlsx</t>
  </si>
  <si>
    <t xml:space="preserve">Balance consolidado solo bancos (subconjunto de Sistema Financiero)</t>
  </si>
  <si>
    <t xml:space="preserve">No tabulado — disponible para desagregar banca vs. no bancaria</t>
  </si>
  <si>
    <t xml:space="preserve">velocidad_de_circulacion.xls</t>
  </si>
  <si>
    <t xml:space="preserve">Velocidad de circulación (PIB/M1...M4prime)</t>
  </si>
  <si>
    <t xml:space="preserve">Ratio</t>
  </si>
  <si>
    <t xml:space="preserve">No tabulado — bonus para análisis de velocidad monetaria</t>
  </si>
  <si>
    <t xml:space="preserve">4__Banco_Central.xlsx</t>
  </si>
  <si>
    <t xml:space="preserve">Balance propio del BCB (RIN brutas, crédito sector público/financiero)</t>
  </si>
  <si>
    <t xml:space="preserve">No tabulado — bonus de reconciliación</t>
  </si>
  <si>
    <t xml:space="preserve">Financiamiento_de_corto_plazo_al_sistema_financiero.xlsx</t>
  </si>
  <si>
    <t xml:space="preserve">Operaciones de reporto (REPORTO), montos y tasas</t>
  </si>
  <si>
    <t xml:space="preserve">2007-2024, mensual</t>
  </si>
  <si>
    <t xml:space="preserve">Miles Bs / %</t>
  </si>
  <si>
    <t xml:space="preserve">No tabulado — bonus, mecanismo de transmisión de tasas</t>
  </si>
  <si>
    <t xml:space="preserve">Titulos_publicos.xlsx</t>
  </si>
  <si>
    <t xml:space="preserve">Tasas de adjudicación de títulos públicos (LT, LR, LB, CD, BT, BR, BB)</t>
  </si>
  <si>
    <t xml:space="preserve">c01040502.xls</t>
  </si>
  <si>
    <t xml:space="preserve">Cuadro 1.4.5.2</t>
  </si>
  <si>
    <t xml:space="preserve">Reservas y Activos Externos Consolidados por tenedor (RIN)</t>
  </si>
  <si>
    <t xml:space="preserve">1990-2024, mensual</t>
  </si>
  <si>
    <t xml:space="preserve">Hoja 12 — RIN</t>
  </si>
  <si>
    <t xml:space="preserve">c01040501.xls</t>
  </si>
  <si>
    <t xml:space="preserve">Cuadro 1.4.5.1</t>
  </si>
  <si>
    <t xml:space="preserve">Reservas Internacionales del Sistema Bancario Consolidado</t>
  </si>
  <si>
    <t xml:space="preserve">Cross-check de RIN, Hoja 12</t>
  </si>
  <si>
    <t xml:space="preserve">4__Serie_BOP_T1_2026.xlsx</t>
  </si>
  <si>
    <t xml:space="preserve">Balanza de Pagos (V y VI Manual FMI)</t>
  </si>
  <si>
    <t xml:space="preserve">1996-2025, trimestral</t>
  </si>
  <si>
    <t xml:space="preserve">Hoja 12 — Balanza de Pagos</t>
  </si>
  <si>
    <t xml:space="preserve">c01020204.xls</t>
  </si>
  <si>
    <t xml:space="preserve">Cuadro 1.2.2.4</t>
  </si>
  <si>
    <t xml:space="preserve">Resumen de Importaciones por Países</t>
  </si>
  <si>
    <t xml:space="preserve">2010-2019, anual</t>
  </si>
  <si>
    <t xml:space="preserve">Hoja 12 — Comercio Exterior</t>
  </si>
  <si>
    <t xml:space="preserve">c01020203.xls</t>
  </si>
  <si>
    <t xml:space="preserve">Cuadro 1.2.2.3</t>
  </si>
  <si>
    <t xml:space="preserve">Resumen de Exportaciones por Países</t>
  </si>
  <si>
    <t xml:space="preserve">c01020101.xls</t>
  </si>
  <si>
    <t xml:space="preserve">Cuadro 1.2.1.1</t>
  </si>
  <si>
    <t xml:space="preserve">Cotización Mensual Oficial y Paralela del Dólar</t>
  </si>
  <si>
    <t xml:space="preserve">1957-2024, mensual</t>
  </si>
  <si>
    <t xml:space="preserve">Hoja 12 — TC oficial/mercado</t>
  </si>
  <si>
    <t xml:space="preserve">Remesas_de_trabajadores_recibidas_segun_pais_de_origen.xlsx</t>
  </si>
  <si>
    <t xml:space="preserve">Remesas de trabajadores según país de origen</t>
  </si>
  <si>
    <t xml:space="preserve">2006-2024, mensual</t>
  </si>
  <si>
    <t xml:space="preserve">Hoja 13 — Remesas</t>
  </si>
  <si>
    <t xml:space="preserve">Externa_publica...saldo_adeudado_por_deudor.xlsx</t>
  </si>
  <si>
    <t xml:space="preserve">Deuda Externa Pública de Mediano y Largo Plazo, por deudor</t>
  </si>
  <si>
    <t xml:space="preserve">2009-2024, trimestral</t>
  </si>
  <si>
    <t xml:space="preserve">Hoja 14 — Deuda externa</t>
  </si>
  <si>
    <t xml:space="preserve">Externa_publica...saldo_adeudado_por_acreedor.xlsx</t>
  </si>
  <si>
    <t xml:space="preserve">Deuda Externa Pública de Mediano y Largo Plazo, por acreedor</t>
  </si>
  <si>
    <t xml:space="preserve">c01050201.xls / c01050204.xls</t>
  </si>
  <si>
    <t xml:space="preserve">Cuadros 1.5.2.1 / 1.5.2.4</t>
  </si>
  <si>
    <t xml:space="preserve">INE/UDAPE</t>
  </si>
  <si>
    <t xml:space="preserve">IPC mensual e Inflación a 12 meses</t>
  </si>
  <si>
    <t xml:space="preserve">1980-2017, mensual</t>
  </si>
  <si>
    <t xml:space="preserve">Índice / %</t>
  </si>
  <si>
    <t xml:space="preserve">Hoja 15</t>
  </si>
  <si>
    <t xml:space="preserve">IPC-_2007-Alimentos.xlsx</t>
  </si>
  <si>
    <t xml:space="preserve">IPC Alimentos, aislado</t>
  </si>
  <si>
    <t xml:space="preserve">2008-2017, mensual</t>
  </si>
  <si>
    <t xml:space="preserve">Índice (2007=100)</t>
  </si>
  <si>
    <t xml:space="preserve">Inflacion_nucleo.xlsx / Inflacion_subyacente.xlsx</t>
  </si>
  <si>
    <t xml:space="preserve">Inflación núcleo y subyacente</t>
  </si>
  <si>
    <t xml:space="preserve">Variación %</t>
  </si>
  <si>
    <t xml:space="preserve">Hoja 16</t>
  </si>
  <si>
    <t xml:space="preserve">Exportacion_de_hidrocarburos.xlsx</t>
  </si>
  <si>
    <t xml:space="preserve">Exportación de gas natural, volumen y valor</t>
  </si>
  <si>
    <t xml:space="preserve">2012-2026, mensual</t>
  </si>
  <si>
    <t xml:space="preserve">Millones m³ / miles USD</t>
  </si>
  <si>
    <t xml:space="preserve">Hoja 17 — Fuente 1</t>
  </si>
  <si>
    <t xml:space="preserve">Bolivia_-_Exportaciones_segun_Actividad...xlsx</t>
  </si>
  <si>
    <t xml:space="preserve">Exportaciones por producto (incl. gas natural), valor y peso</t>
  </si>
  <si>
    <t xml:space="preserve">1992-2026, mensual</t>
  </si>
  <si>
    <t xml:space="preserve">Millones USD / toneladas</t>
  </si>
  <si>
    <t xml:space="preserve">Hoja 17 — Fuente 2, serie principal</t>
  </si>
  <si>
    <t xml:space="preserve">INDPRODUCTO.xlsx</t>
  </si>
  <si>
    <t xml:space="preserve">IPC por producto individual (incl. papa, tomate, pollo)</t>
  </si>
  <si>
    <t xml:space="preserve">Hoja 18 — Choque de alimentos 2013</t>
  </si>
  <si>
    <t xml:space="preserve">Bitacora_22_23-04.pdf</t>
  </si>
  <si>
    <t xml:space="preserve">MEFP</t>
  </si>
  <si>
    <t xml:space="preserve">Serie histórica del Salario Mínimo Nacional, 2005-2023</t>
  </si>
  <si>
    <t xml:space="preserve">2005-2023, anual</t>
  </si>
  <si>
    <t xml:space="preserve">Bs</t>
  </si>
  <si>
    <t xml:space="preserve">Hoja 19A — cruzada con Decreto Supremo</t>
  </si>
  <si>
    <t xml:space="preserve">c03020201.xls</t>
  </si>
  <si>
    <t xml:space="preserve">s/n (numeración alterna)</t>
  </si>
  <si>
    <t xml:space="preserve">UDAPE</t>
  </si>
  <si>
    <t xml:space="preserve">Salario Mínimo Nacional por año, con Decreto Supremo y fecha</t>
  </si>
  <si>
    <t xml:space="preserve">1991-2019, anual</t>
  </si>
  <si>
    <t xml:space="preserve">Hoja 19A — fuente principal con respaldo normativo</t>
  </si>
  <si>
    <t xml:space="preserve">c03020101.xls</t>
  </si>
  <si>
    <t xml:space="preserve">Cuadro 7.2.1 (num. alterna 3.2.1)</t>
  </si>
  <si>
    <t xml:space="preserve">UDAPE, Dossier Social</t>
  </si>
  <si>
    <t xml:space="preserve">Población de 10 años o más por condición de actividad y sexo — bloque 2011-2015 usado (dentro de archivo con bloques 1996-2024)</t>
  </si>
  <si>
    <t xml:space="preserve">1996-2024 (bloques por período; 2010 sin encuesta)</t>
  </si>
  <si>
    <t xml:space="preserve">Miles de personas</t>
  </si>
  <si>
    <t xml:space="preserve">Hoja 19B — PEA, PO, PD</t>
  </si>
  <si>
    <t xml:space="preserve">c03020102.xls</t>
  </si>
  <si>
    <t xml:space="preserve">Cuadro 7.2.2 (num. alterna 3.2.2)</t>
  </si>
  <si>
    <t xml:space="preserve">Indicadores de empleo (incl. Tasa de Desempleo Abierto) — bloque 2011-2015 usado</t>
  </si>
  <si>
    <t xml:space="preserve">Hoja 19B — Tasa de Desempleo Abierto</t>
  </si>
  <si>
    <t xml:space="preserve">c03060101.xls</t>
  </si>
  <si>
    <t xml:space="preserve">Cuadro 7.6.1 (num. alterna 3.6.1)</t>
  </si>
  <si>
    <t xml:space="preserve">Indicadores de pobreza y desigualdad, método línea de pobreza — bloque 2008-2018 usado</t>
  </si>
  <si>
    <t xml:space="preserve">1996-2018 (bloques por período; 2010 sin encuesta)</t>
  </si>
  <si>
    <t xml:space="preserve">Hoja 19C — pobreza moderada, extrema, Gini</t>
  </si>
  <si>
    <t xml:space="preserve">3_1_1_Asegurados_a_la_Seguridad_Social_SIP-Historico.pdf</t>
  </si>
  <si>
    <t xml:space="preserve">APS (Autoridad de Fiscalización y Control de Pensiones y Seguros)</t>
  </si>
  <si>
    <t xml:space="preserve">Asegurados registrados en el Sistema Integral de Pensiones (SIP), histórico</t>
  </si>
  <si>
    <t xml:space="preserve">1997-2023, anual</t>
  </si>
  <si>
    <t xml:space="preserve">Personas</t>
  </si>
  <si>
    <t xml:space="preserve">Hoja 19D — afiliación a seguridad social</t>
  </si>
  <si>
    <t xml:space="preserve">dataset IMF_RES_PCPS.csv</t>
  </si>
  <si>
    <t xml:space="preserve">G001.PZINC/PTIN/PSILVER/PSOYB.USD.M</t>
  </si>
  <si>
    <t xml:space="preserve">FMI, Primary Commodity Price System (PCPS)</t>
  </si>
  <si>
    <t xml:space="preserve">Precios de zinc, estaño, plata y soya, en USD</t>
  </si>
  <si>
    <t xml:space="preserve">1946-2026, mensual</t>
  </si>
  <si>
    <t xml:space="preserve">USD/tonelada, USD/oz troy</t>
  </si>
  <si>
    <t xml:space="preserve">Hoja 20 — commodities no gasíferos</t>
  </si>
  <si>
    <t xml:space="preserve">oni_ascii.txt</t>
  </si>
  <si>
    <t xml:space="preserve">NOAA, Climate Prediction Center</t>
  </si>
  <si>
    <t xml:space="preserve">Índice Oceánico El Niño (ONI), estacional 3 meses móviles</t>
  </si>
  <si>
    <t xml:space="preserve">1950-presente, estacional</t>
  </si>
  <si>
    <t xml:space="preserve">Estacional (3 meses móviles)</t>
  </si>
  <si>
    <t xml:space="preserve">Anomalía °C</t>
  </si>
  <si>
    <t xml:space="preserve">Hoja 21 — índice ENSO</t>
  </si>
  <si>
    <t xml:space="preserve">NOTAS ESPECÍFICAS DEL BLOQUE 1 (ver Hoja 00_Notas para el estado completo de los 7 bloques)</t>
  </si>
  <si>
    <t xml:space="preserve">• Formación Bruta de Capital Fijo desagregada pública/privada: se resuelve por RESIDUO (FBKF total INE − Pública VIPFE), ver Hoja 04. Ver nota de comparabilidad (cobertura institucional y criterio devengado/pagado distintos entre INE y VIPFE).</t>
  </si>
  <si>
    <t xml:space="preserve">• Exportaciones/importaciones por producto o socio comercial (BCB Sector Externo): la identidad agregada ya está cubierta por 02_01_01/02_02_01; un desglose más fino, si se quisiera, pertenece al Bloque 4, no es un pendiente del Bloque 1.</t>
  </si>
  <si>
    <t xml:space="preserve">• Tipo de cambio 2010-2011: CERRADO con las planillas oficiales del BCB (Hoja 04, tabla auxiliar). El promedio anual usado es una media simple de los 12 meses, no ponderada por el flujo real de ejecución mensual de inversión (esa granularidad no existe públicamente) — queda documentado como supuesto, no como dato faltante.</t>
  </si>
  <si>
    <t xml:space="preserve">PIB Trimestral por Actividad Económica — 2010T1-2014T4</t>
  </si>
  <si>
    <t xml:space="preserve">Fuente: INE, Cuadros 1.01.01 (precios constantes de 1990) y 1.02.01 (precios corrientes). Miles de bolivianos. Dato observado, sin transformar.</t>
  </si>
  <si>
    <t xml:space="preserve">A. Precios constantes de 1990 (real)</t>
  </si>
  <si>
    <t xml:space="preserve">PERIODO</t>
  </si>
  <si>
    <t xml:space="preserve">AGRICULTURA, SILVICULTURA, CAZA Y PESCA</t>
  </si>
  <si>
    <t xml:space="preserve">PETRÓLEO CRUDO  Y GAS NATURAL</t>
  </si>
  <si>
    <t xml:space="preserve">MINERALES METÁLICOS Y NO METÁLICOS</t>
  </si>
  <si>
    <t xml:space="preserve">INDUSTRIA MANUFACTURERA</t>
  </si>
  <si>
    <t xml:space="preserve">ELECTRICIDAD, GAS Y AGUA</t>
  </si>
  <si>
    <t xml:space="preserve">CONSTRUCCIÓN</t>
  </si>
  <si>
    <t xml:space="preserve">COMERCIO</t>
  </si>
  <si>
    <t xml:space="preserve">TRANSPORTE Y COMUNICACIONES</t>
  </si>
  <si>
    <t xml:space="preserve">ESTABLECIMIENTOS FINANCIEROS, SEGUROS, BIENES INMUEBLES Y SERVICIOS A LAS EMPRESAS</t>
  </si>
  <si>
    <t xml:space="preserve">SERVICIOS DE LA ADMINISTRACIÓN PÚBLICA</t>
  </si>
  <si>
    <t xml:space="preserve">OTROS SERVICIOS</t>
  </si>
  <si>
    <t xml:space="preserve">SERVICIOS BANCARIOS IMPUTADOS</t>
  </si>
  <si>
    <t xml:space="preserve">PIB A PRECIOS BÁSICOS</t>
  </si>
  <si>
    <t xml:space="preserve">DERECHOS DE IMPORTACIÓN, IVA, IT Y OTROS IMPUESTOS INDIRECTOS</t>
  </si>
  <si>
    <t xml:space="preserve">PIB A PRECIOS DE MERCADO</t>
  </si>
  <si>
    <t xml:space="preserve">2010T1</t>
  </si>
  <si>
    <t xml:space="preserve">2010T2</t>
  </si>
  <si>
    <t xml:space="preserve">2010T3</t>
  </si>
  <si>
    <t xml:space="preserve">2010T4</t>
  </si>
  <si>
    <t xml:space="preserve">2011T1</t>
  </si>
  <si>
    <t xml:space="preserve">2011T2</t>
  </si>
  <si>
    <t xml:space="preserve">2011T3</t>
  </si>
  <si>
    <t xml:space="preserve">2011T4</t>
  </si>
  <si>
    <t xml:space="preserve">2012T1</t>
  </si>
  <si>
    <t xml:space="preserve">2012T2</t>
  </si>
  <si>
    <t xml:space="preserve">2012T3</t>
  </si>
  <si>
    <t xml:space="preserve">2012T4</t>
  </si>
  <si>
    <t xml:space="preserve">2013T1</t>
  </si>
  <si>
    <t xml:space="preserve">2013T2</t>
  </si>
  <si>
    <t xml:space="preserve">2013T3</t>
  </si>
  <si>
    <t xml:space="preserve">2013T4</t>
  </si>
  <si>
    <t xml:space="preserve">2014T1</t>
  </si>
  <si>
    <t xml:space="preserve">2014T2</t>
  </si>
  <si>
    <t xml:space="preserve">2014T3</t>
  </si>
  <si>
    <t xml:space="preserve">2014T4</t>
  </si>
  <si>
    <t xml:space="preserve">B. Precios corrientes (nominal)</t>
  </si>
  <si>
    <t xml:space="preserve">PIB Trimestral por Tipo de Gasto — 2010T1-2014T4</t>
  </si>
  <si>
    <t xml:space="preserve">Fuente: INE, Cuadros 2.01.01 (precios constantes 1990) y 2.02.01 (precios corrientes). Miles de bolivianos. Identidad: C+G+DeltaExist.+FBKF+X-M = PIB.</t>
  </si>
  <si>
    <t xml:space="preserve">GASTO DE CONSUMO FINAL DE LA ADMINISTRACIÓN PÚBLICA </t>
  </si>
  <si>
    <t xml:space="preserve">GASTO DE CONSUMO FINAL DE LOS HOGARES E  IPSFL</t>
  </si>
  <si>
    <t xml:space="preserve">VARIACIÓN DE EXISTENCIAS</t>
  </si>
  <si>
    <t xml:space="preserve">FORMACIÓN BRUTA DE CAPITAL FIJO</t>
  </si>
  <si>
    <t xml:space="preserve">EXPORTACIONES DE BIENES Y SERVICIOS</t>
  </si>
  <si>
    <t xml:space="preserve">Menos: IMPORTACIONES DE BIENES Y SERVICIOS</t>
  </si>
  <si>
    <t xml:space="preserve">Inversión Pública Ejecutada — VIPFE/UDAPE, 2010-2014</t>
  </si>
  <si>
    <t xml:space="preserve">Fuente: UDAPE, Cuadros 3.7.1 y 3.7.2 (Ministerio de Planificación del Desarrollo - VIPFE). Miles de USD. Columna "Ejecutado" unicamente (se descarta "Programado").</t>
  </si>
  <si>
    <t xml:space="preserve">A. Por sector (Ejecutado)</t>
  </si>
  <si>
    <t xml:space="preserve">SECTOR</t>
  </si>
  <si>
    <t xml:space="preserve">EXTRACTIVOS</t>
  </si>
  <si>
    <t xml:space="preserve">   Mineria</t>
  </si>
  <si>
    <t xml:space="preserve">   Hidrocarburos</t>
  </si>
  <si>
    <t xml:space="preserve">APOYO A LA PRODUCCION</t>
  </si>
  <si>
    <t xml:space="preserve">   Agropecuario</t>
  </si>
  <si>
    <t xml:space="preserve">   Industria y Turismo</t>
  </si>
  <si>
    <t xml:space="preserve">   Multisectorial</t>
  </si>
  <si>
    <t xml:space="preserve">INFRAESTRUCTURA</t>
  </si>
  <si>
    <t xml:space="preserve">   Transportes</t>
  </si>
  <si>
    <t xml:space="preserve">   Energia</t>
  </si>
  <si>
    <t xml:space="preserve">   Comunicaciones</t>
  </si>
  <si>
    <t xml:space="preserve">   Recursos Hidricos</t>
  </si>
  <si>
    <t xml:space="preserve">SOCIALES</t>
  </si>
  <si>
    <t xml:space="preserve">   Salud</t>
  </si>
  <si>
    <t xml:space="preserve">   Educacion y Cultura</t>
  </si>
  <si>
    <t xml:space="preserve">   Saneamiento Basico</t>
  </si>
  <si>
    <t xml:space="preserve">   Urbanismo y Vivienda</t>
  </si>
  <si>
    <t xml:space="preserve">OTROS</t>
  </si>
  <si>
    <t xml:space="preserve">TOTAL</t>
  </si>
  <si>
    <t xml:space="preserve">B. Por fuente de financiamiento</t>
  </si>
  <si>
    <t xml:space="preserve">FUENTE</t>
  </si>
  <si>
    <t xml:space="preserve">Recursos Internos</t>
  </si>
  <si>
    <t xml:space="preserve">   IDH aplicado a inversion</t>
  </si>
  <si>
    <t xml:space="preserve">   Regalias aplicado a inversion</t>
  </si>
  <si>
    <t xml:space="preserve">   Recursos Propios</t>
  </si>
  <si>
    <t xml:space="preserve">Recursos Externos</t>
  </si>
  <si>
    <t xml:space="preserve">   Creditos externos</t>
  </si>
  <si>
    <t xml:space="preserve">   Donaciones</t>
  </si>
  <si>
    <t xml:space="preserve">NOTA: "IDH aplicado a inversion" es la porcion del Impuesto Directo a los Hidrocarburos canalizada a financiar inversion publica dentro de este cuadro VIPFE. NO equivale al IDH total recaudado a nivel nacional (que tambien financia universidades, prefecturas/gobernaciones, Fondo Indigena, etc. por Ley 3058). Para el IDH nacional total se requiere una fuente fiscal distinta (BCB/MEFP, Bloque 2).</t>
  </si>
  <si>
    <t xml:space="preserve">Conversión USD→Bs (dos criterios) e Inversión Privada por Residuo</t>
  </si>
  <si>
    <t xml:space="preserve">CRITERIO METODOLÓGICO DECIDIDO: la inversión pública ejecutada es un FLUJO anual (se desembolsó en distintos meses del año), por lo que corresponde convertirla con un TC PROMEDIO del período, no con un TC de corte puntual. Por eso (A) VENTA-PROMEDIO es el CRITERIO PRINCIPAL usado en el resto del análisis. (B) COMPRA-FIN-DE-MES se mantiene solo como VERIFICACIÓN DE SENSIBILIDAD: esa serie está diseñada para que ASFI revalorice balances bancarios en una fecha de corte (una lógica de stock), no para convertir flujos de gasto — usarla como criterio principal repetiría el tipo de error de unidades que auditamos en el motor v5.</t>
  </si>
  <si>
    <t xml:space="preserve">AÑO</t>
  </si>
  <si>
    <t xml:space="preserve">(A) TC VENTA, promedio diario mensual (Bs/USD) — CRITERIO PRINCIPAL</t>
  </si>
  <si>
    <t xml:space="preserve">(B) TC COMPRA, fin de mes (Bs/USD) — verificación de sensibilidad</t>
  </si>
  <si>
    <t xml:space="preserve">(A) Fuente: BCB, Gerencia de Operaciones Internacionales, planillas "Cotizaciones Oficiales del Boliviano...", promedio simple de los 12 promedios mensuales de venta (tabla auxiliar más abajo). (B) Fuente: BCB, Cuadro 1.4.4.1 "Tipo de Cambio para Ajuste de Cuentas Bancarias", promedio simple de los 12 valores de fin de mes (tabla auxiliar más abajo). Ninguno de los dos promedios está ponderado por el flujo mensual real de ejecución de inversión (dato no disponible a esa granularidad).</t>
  </si>
  <si>
    <t xml:space="preserve">Inversión pública ejecutada (miles USD) — Hoja 03</t>
  </si>
  <si>
    <t xml:space="preserve">Inversión pública en Bs corrientes — CRITERIO PRINCIPAL (VENTA)</t>
  </si>
  <si>
    <t xml:space="preserve">Inversión pública en Bs corrientes — sensibilidad (COMPRA)</t>
  </si>
  <si>
    <t xml:space="preserve">FBKF total anual, nominal (miles Bs) — suma de 4 trimestres, Hoja 02</t>
  </si>
  <si>
    <t xml:space="preserve">Residuo Inversión Privada (miles Bs) — CRITERIO PRINCIPAL (VENTA)</t>
  </si>
  <si>
    <t xml:space="preserve">Residuo Inversión Privada (miles Bs) — sensibilidad (COMPRA)</t>
  </si>
  <si>
    <t xml:space="preserve">NOTA DE COMPARABILIDAD: la FBKF del INE y la inversión pública ejecutada de VIPFE no son estrictamente equivalentes en cobertura institucional ni en criterio de valoración (devengado vs. pagado). El residuo bajo CRITERIO PRINCIPAL (VENTA) es el que debe citarse y usarse en el resto del análisis; la fila de sensibilidad (COMPRA) solo confirma que la elección de TC no cambia la conclusión (diferencia bajo 1.5%).</t>
  </si>
  <si>
    <t xml:space="preserve">IDH aplicado a inversión pública (miles USD) — Hoja 03, referencia cruzada</t>
  </si>
  <si>
    <t xml:space="preserve">Tabla auxiliar (A) — TC VENTA mensual (promedio diario), BCB, 2010-2011</t>
  </si>
  <si>
    <t xml:space="preserve">MES</t>
  </si>
  <si>
    <t xml:space="preserve">2010 Venta</t>
  </si>
  <si>
    <t xml:space="preserve">2010 Compra*</t>
  </si>
  <si>
    <t xml:space="preserve">2011 Venta</t>
  </si>
  <si>
    <t xml:space="preserve">2011 Compra*</t>
  </si>
  <si>
    <t xml:space="preserve">Enero</t>
  </si>
  <si>
    <t xml:space="preserve">Febrero</t>
  </si>
  <si>
    <t xml:space="preserve">Marzo</t>
  </si>
  <si>
    <t xml:space="preserve">Abril</t>
  </si>
  <si>
    <t xml:space="preserve">Mayo</t>
  </si>
  <si>
    <t xml:space="preserve">Junio</t>
  </si>
  <si>
    <t xml:space="preserve">Julio</t>
  </si>
  <si>
    <t xml:space="preserve">Agosto</t>
  </si>
  <si>
    <t xml:space="preserve">Septiembre</t>
  </si>
  <si>
    <t xml:space="preserve">Octubre</t>
  </si>
  <si>
    <t xml:space="preserve">Noviembre</t>
  </si>
  <si>
    <t xml:space="preserve">Diciembre</t>
  </si>
  <si>
    <t xml:space="preserve">Fuente: BCB, "Cotizaciones Oficiales del Boliviano con relación al Dólar Estadounidense", promedio mensual de venta y compra reportado en la propia planilla diaria del BCB. *Columnas "Compra" de esta tabla son de referencia únicamente; el criterio (B) oficial usado en fila 7 proviene de la tabla auxiliar siguiente (Cuadro 1.4.4.1, fin de mes, no promedio diario).</t>
  </si>
  <si>
    <t xml:space="preserve">Tabla auxiliar (B) — TC COMPRA de fin de mes, BCB Cuadro 1.4.4.1, 2010-2014</t>
  </si>
  <si>
    <t xml:space="preserve">2010</t>
  </si>
  <si>
    <t xml:space="preserve">2011</t>
  </si>
  <si>
    <t xml:space="preserve">2012</t>
  </si>
  <si>
    <t xml:space="preserve">2013</t>
  </si>
  <si>
    <t xml:space="preserve">2014</t>
  </si>
  <si>
    <t xml:space="preserve">Fuente: Banco Central de Bolivia (BCB), Cuadro 1.4.4.1 "Tipo de Cambio para Ajuste de Cuentas Bancarias" (Bolivianos por Dólar). Nota del propio BCB: "La Autoridad de Supervisión del Sistema Financiero (ASFI) utiliza el tipo de cambio de compra del último día hábil de cada mes publicado por el BCB para realizar los ajustes de cuentas bancarias."</t>
  </si>
  <si>
    <t xml:space="preserve">Bloque 2 — Sector Fiscal: Operaciones Consolidadas del SPNF, 2010-2014</t>
  </si>
  <si>
    <t xml:space="preserve">Fuente: UDAPE/MEFP, Cuadro 3.1.1 "Operaciones Consolidadas del Sector Público No Financiero". Millones de bolivianos.</t>
  </si>
  <si>
    <t xml:space="preserve">INGRESOS TOTALES</t>
  </si>
  <si>
    <t xml:space="preserve">INGRESOS TRIBUTARIOS</t>
  </si>
  <si>
    <t xml:space="preserve">RENTA INTERNA</t>
  </si>
  <si>
    <t xml:space="preserve">EGRESOS TOTALES</t>
  </si>
  <si>
    <t xml:space="preserve">SUP (DÉF) GLOBAL</t>
  </si>
  <si>
    <t xml:space="preserve">CRÉDITO INTERNO NETO</t>
  </si>
  <si>
    <t xml:space="preserve">CRÉDITO EXTERNO NETO</t>
  </si>
  <si>
    <t xml:space="preserve">CONVENCIÓN DE SIGNOS: SUP (DÉF) GLOBAL positivo = superávit; negativo = déficit. Verificado: Ingresos Totales − Egresos Totales = SUP (DÉF) GLOBAL en cada año de esta tabla (consistencia interna confirmada).</t>
  </si>
  <si>
    <t xml:space="preserve">HALLAZGO RELEVANTE PARA EL CANAL C: el Crédito Interno Neto (CIN) al Sector Público fue NEGATIVO en 2010-2013 (el TGN redujo/no requirió financiamiento del sistema financiero interno durante los años de superávit), y recién se vuelve fuertemente POSITIVO en 2014, el primer año de déficit del período. Esto matiza la narrativa del artículo v1 de que el Canal C ("financiamiento del BCB al TGN vía expansión del CIN") operó como mecanismo de transmisión activo durante el propio superciclo 2010-2013 — los datos muestran que ese canal se activa recién cuando aparece el déficit (2014), no durante los años de bonanza fiscal. Esto debe reflejarse en la revisión del artículo, Sección de Canal C.</t>
  </si>
  <si>
    <t xml:space="preserve">Bloque 2 — Recaudación Renta Interna, IDH Nacional y Deuda Interna, 2010-2014</t>
  </si>
  <si>
    <t xml:space="preserve">A. Recaudación Renta Interna (SIN) — Cuadro 3.4.1, miles de Bs</t>
  </si>
  <si>
    <t xml:space="preserve">TOTAL GENERAL (Renta Interna, SIN)</t>
  </si>
  <si>
    <t xml:space="preserve">IDH nacional total</t>
  </si>
  <si>
    <t xml:space="preserve">NOTA DE TERMINOLOGÍA — "RENTA INTERNA" SIGNIFICA COSAS DISTINTAS SEGÚN LA FUENTE: en este cuadro (SIN, 3.4.1), "Renta Interna" = TODO lo recaudado por el SIN, IDH incluido. En la Hoja 06 (Cuadro 3.1.1, presentación macro-fiscal del SPNF), "RENTA INTERNA" es una categoría funcional más angosta que EXCLUYE los impuestos hidrocarburíferos (IDH, IEHD, regalías), que ahí tienen su propia línea "IMPUESTOS S/HIDROCARBUROS". Verificado: INGRESOS TRIBUTARIOS de la Hoja 06 (23,018 millones Bs en 2010) ≈ TOTAL GENERAL de esta hoja menos IDH (30,103 − 6,744 = 23,358 millones, diferencia de solo 1.5%). NUNCA sumar la "RENTA INTERNA" de la Hoja 06 con el IDH de esta hoja como si fueran piezas complementarias — se contaría el IDH dos veces.</t>
  </si>
  <si>
    <t xml:space="preserve">B. Deuda Pública Interna del Tesoro — Cuadro 3.9.1, millones de USD</t>
  </si>
  <si>
    <t xml:space="preserve">Deuda Interna Total (Tesoro)</t>
  </si>
  <si>
    <t xml:space="preserve">de la cual: Sector Público (BCB)</t>
  </si>
  <si>
    <t xml:space="preserve">de la cual: Sector Privado (AFP, bonos, etc.)</t>
  </si>
  <si>
    <t xml:space="preserve">Fuentes: (A) UDAPE/SIN, Cuadro 3.4.1 "Recaudación Renta Interna por Tipo de Impuestos". (B) UDAPE/MEFP, Cuadro 3.9.1 "Stock de la Deuda Pública Interna del Tesoro General de la Nación".</t>
  </si>
  <si>
    <t xml:space="preserve">Bloque 3 — Agregados Monetarios (M1-M4) y Base Monetaria, mensual 2010-2014</t>
  </si>
  <si>
    <t xml:space="preserve">Fuentes: BCB, "7. Agregados Monetarios" y "2. Base Monetaria, Determinantes y Componentes" (Sector Monetario, Indicadores Monetarios). Miles de bolivianos, fin de mes.</t>
  </si>
  <si>
    <t xml:space="preserve">M1</t>
  </si>
  <si>
    <t xml:space="preserve">M'1</t>
  </si>
  <si>
    <t xml:space="preserve">M2</t>
  </si>
  <si>
    <t xml:space="preserve">M'2</t>
  </si>
  <si>
    <t xml:space="preserve">M3</t>
  </si>
  <si>
    <t xml:space="preserve">M'3</t>
  </si>
  <si>
    <t xml:space="preserve">M4</t>
  </si>
  <si>
    <t xml:space="preserve">M'4</t>
  </si>
  <si>
    <t xml:space="preserve">Base Monetaria (BM)</t>
  </si>
  <si>
    <t xml:space="preserve">Crédito Neto Sector Público (BCB, monetario)</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</si>
  <si>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</si>
  <si>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</si>
  <si>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</si>
  <si>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</si>
  <si>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</si>
  <si>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</si>
  <si>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</si>
  <si>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</si>
  <si>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</si>
  <si>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</si>
  <si>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</si>
  <si>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</si>
  <si>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NOTA: "Crédito Neto Sector Público (BCB, monetario)" es la cifra del propio balance del BCB (lado monetario). Es DISTINTA del "CRÉDITO INTERNO NETO" de la Hoja 06 (lado fiscal, Cuadro 3.1.1) y de "Financiamiento neto BCB al Sector Público" de la Hoja 09 (desagregado por sub-sector) — las tres describen la misma relación desde ópticas distintas y no deberían ser idénticas, pero sí deberían moverse de forma consistente. Vale la pena graficarlas juntas al momento de redactar el artículo.</t>
  </si>
  <si>
    <t xml:space="preserve">Bloque 3 — Financiamiento del BCB (Sector Público, Sistema Financiero) y Deuda con el Sector Privado</t>
  </si>
  <si>
    <t xml:space="preserve">A. Financiamiento neto del BCB al Sector Público, por sub-sector (miles Bs, diciembre de cada año)</t>
  </si>
  <si>
    <t xml:space="preserve">GobCentral Neto</t>
  </si>
  <si>
    <t xml:space="preserve">SegSocial Neto</t>
  </si>
  <si>
    <t xml:space="preserve">GobLocales Neto</t>
  </si>
  <si>
    <t xml:space="preserve">EmpresasPublicas Neto</t>
  </si>
  <si>
    <t xml:space="preserve">TOTAL Neto</t>
  </si>
  <si>
    <t xml:space="preserve">B. Financiamiento del BCB al Sistema Financiero (miles Bs, diciembre de cada año)</t>
  </si>
  <si>
    <t xml:space="preserve">Financiamiento a largo plazo (TOTAL)</t>
  </si>
  <si>
    <t xml:space="preserve">C. Deuda interna del BCB con el Sector Privado (millones Bs, fin de año)</t>
  </si>
  <si>
    <t xml:space="preserve">Letras</t>
  </si>
  <si>
    <t xml:space="preserve">Bonos</t>
  </si>
  <si>
    <t xml:space="preserve">BCB Directo</t>
  </si>
  <si>
    <t xml:space="preserve">Requerimiento Activos Líquidos</t>
  </si>
  <si>
    <t xml:space="preserve">Fuentes: BCB, "3. Financiamiento neto al Sector Público" y "2. Financiamiento a largo plazo al Sistema Financiero" (Créditos y Depósitos / BCB, valores de diciembre); "1. Deuda interna con el Sector Privado" (fin de año). Crédito neto = Crédito bruto − Depósitos del sub-sector en el BCB (signo negativo = el sub-sector es depositante neto, no deudor neto).</t>
  </si>
  <si>
    <t xml:space="preserve">Bloque 3 — Tasas de Interés Bancarias y Tasas de Encaje Legal, 2010-2014</t>
  </si>
  <si>
    <t xml:space="preserve">A. Tasas activas y pasivas — promedio anual de promedios mensuales (%)</t>
  </si>
  <si>
    <t xml:space="preserve">Activa MN (promedio todos los plazos)</t>
  </si>
  <si>
    <t xml:space="preserve">Activa ME (promedio todos los plazos)</t>
  </si>
  <si>
    <t xml:space="preserve">Pasiva Depósito Plazo Fijo MN</t>
  </si>
  <si>
    <t xml:space="preserve">Pasiva Depósito Plazo Fijo ME</t>
  </si>
  <si>
    <t xml:space="preserve">Pasiva Caja de Ahorro MN</t>
  </si>
  <si>
    <t xml:space="preserve">Pasiva Caja de Ahorro ME</t>
  </si>
  <si>
    <t xml:space="preserve">NOTA: promedio simple de los promedios mensuales publicados por el BCB para cada tramo de plazo (1-30, 31-60... días). Es una simplificación razonable para el simulador (que hoy usa un único valor anual por moneda), pero el detalle completo por plazo está disponible en los archivos fuente si se necesita mayor granularidad.</t>
  </si>
  <si>
    <t xml:space="preserve">B. Tasas de Encaje Legal por tipo de depósito y moneda (%, diciembre de cada año)</t>
  </si>
  <si>
    <t xml:space="preserve">Vista MN</t>
  </si>
  <si>
    <t xml:space="preserve">Vista ME</t>
  </si>
  <si>
    <t xml:space="preserve">Ahorro MN</t>
  </si>
  <si>
    <t xml:space="preserve">Ahorro ME</t>
  </si>
  <si>
    <t xml:space="preserve">Plazo Fijo MN</t>
  </si>
  <si>
    <t xml:space="preserve">Plazo Fijo ME</t>
  </si>
  <si>
    <t xml:space="preserve">Otros MN</t>
  </si>
  <si>
    <t xml:space="preserve">Otros ME</t>
  </si>
  <si>
    <t xml:space="preserve">Fuentes: (A) BCB, Cuadros 1.4.2.1 y 1.4.2.2 "Tasas de Interés Anuales Activas/Pasivas del Sistema Bancario". (B) BCB, Cuadro "4. Encaje Legal" (Tasas Monetarias), valor vigente en diciembre de cada año.</t>
  </si>
  <si>
    <t xml:space="preserve">Bloque 3 — Crédito al Sector Privado y Depósitos por Moneda, Sistema Financiero (diciembre de cada año)</t>
  </si>
  <si>
    <t xml:space="preserve">Fuente: BCB, "1. Sistema Financiero" (Balances Consolidados), hojas Activo y Pasivo. Miles de bolivianos.</t>
  </si>
  <si>
    <t xml:space="preserve">Financiamiento al Sector Privado (TOTAL)</t>
  </si>
  <si>
    <t xml:space="preserve">Crédito al Sector Público (TOTAL, referencia cruzada)</t>
  </si>
  <si>
    <t xml:space="preserve">Depósitos por moneda</t>
  </si>
  <si>
    <t xml:space="preserve">TOTAL Depósitos MN</t>
  </si>
  <si>
    <t xml:space="preserve">TOTAL Depósitos ME</t>
  </si>
  <si>
    <t xml:space="preserve">Dolarización de depósitos (%) = ME / (MN+ME)</t>
  </si>
  <si>
    <t xml:space="preserve">HALLAZGO: la dolarización de depósitos cae de forma sostenida durante todo el período (de ~44% en 2010 a ~19% en 2014). Esto es consistente con el proceso de "bolivianización" documentado en la literatura del BCB para estos años, y confirma que el θ_MF (atenuación monetaria por dolarización) del motor v5 debería ser DECRECIENTE en el tiempo dentro de este período, no constante como está hoy codificado.</t>
  </si>
  <si>
    <t xml:space="preserve">Bloque 4 — RIN, Balanza de Pagos y Comercio Exterior, 2010-2014</t>
  </si>
  <si>
    <t xml:space="preserve">A. Reservas Internacionales Netas del BCB (millones USD, diciembre de cada año)</t>
  </si>
  <si>
    <t xml:space="preserve">RIN (BCB, Reservas Netas)</t>
  </si>
  <si>
    <t xml:space="preserve">B. Balanza de Pagos (millones USD, anual)</t>
  </si>
  <si>
    <t xml:space="preserve">Cuenta Corriente</t>
  </si>
  <si>
    <t xml:space="preserve">Saldo de Bienes/Mercancías</t>
  </si>
  <si>
    <t xml:space="preserve">Saldo de Servicios</t>
  </si>
  <si>
    <t xml:space="preserve">Variación de RIN (BOP)</t>
  </si>
  <si>
    <t xml:space="preserve">NOTA METODOLÓGICA: 2010-2013 provienen de la serie trimestral bajo el Quinto Manual del FMI (sumadas a anual); 2014 proviene de la serie bajo el Sexto Manual (también sumada de sus 4 trimestres). Ambas metodologías difieren en clasificación de partidas, por lo que 2014 no es estrictamente comparable con 2010-2013 sin ajuste.</t>
  </si>
  <si>
    <t xml:space="preserve">C. Comercio Exterior — valores oficiales de aduana (millones USD, anual)</t>
  </si>
  <si>
    <t xml:space="preserve">Importaciones totales</t>
  </si>
  <si>
    <t xml:space="preserve">Exportaciones totales (valor aduana)</t>
  </si>
  <si>
    <t xml:space="preserve">Meses de RIN = RIN / (Importaciones anuales / 12)</t>
  </si>
  <si>
    <t xml:space="preserve">HALLAZGO: las RIN se mantienen por encima de 15 meses de importación durante TODO el período 2010-2014 — muy por encima del umbral de alerta de 6 meses que activa φ_t en el motor v5. Esto CONFIRMA cuantitativamente lo que se anticipaba en el Capítulo 2: la restricción externa φ_t es matemáticamente inerte durante todo el rango temporal de este estudio. El mecanismo está correctamente especificado pero nunca fue puesto a prueba por este período — no puede considerarse "validado" por los datos de 2010-2014.</t>
  </si>
  <si>
    <t xml:space="preserve">D. Tipo de Cambio Oficial y "de Mercado" — promedio anual (Bs/USD)</t>
  </si>
  <si>
    <t xml:space="preserve">Compra oficial</t>
  </si>
  <si>
    <t xml:space="preserve">Venta oficial</t>
  </si>
  <si>
    <t xml:space="preserve">"Mercado" (BCB, ref.)</t>
  </si>
  <si>
    <t xml:space="preserve">NOTA: esta serie ("Cotización Mensual Oficial y Paralela", BCB) confirma que la columna "Mercado" se mantiene siempre dentro de la banda compra-venta oficial en 2010-2014 — es decir, NO hay evidencia de una brecha cambiaria paralela relevante en este período, consistente con lo ya asumido en el panel de alertas de v5. Los promedios anuales aquí difieren levemente (~1.5%) de los calculados en la Hoja 05 a partir de las planillas diarias — diferencia atribuible al método de promediado, no a una discrepancia de fondo.</t>
  </si>
  <si>
    <t xml:space="preserve">Bloque 4 — Remesas de Trabajadores Recibidas, 2010-2014</t>
  </si>
  <si>
    <t xml:space="preserve">Fuente: BCB, "Remesas de Trabajadores Recibidas según País de Origen" (mensual, suma anual). Millones de USD.</t>
  </si>
  <si>
    <t xml:space="preserve">Remesas totales recibidas</t>
  </si>
  <si>
    <t xml:space="preserve">NOTA: existe una segunda fuente ("según Plaza de Pago", desagregada por departamento) que solo cubre desde enero de 2011 — no incluye 2010 y por eso no se usa como serie principal, aunque puede incorporarse como desagregación regional complementaria a partir de 2011 si se necesita en análisis futuros.</t>
  </si>
  <si>
    <t xml:space="preserve">Bloque 4 — Deuda Externa Pública de Mediano y Largo Plazo, saldo a fin de año (millones USD)</t>
  </si>
  <si>
    <t xml:space="preserve">Fuente: BCB, "Deuda Externa Pública de Mediano y Largo Plazo — Saldo Adeudado por Deudor / por Acreedor" (trimestral, se usa el trimestre T4 de cada año).</t>
  </si>
  <si>
    <t xml:space="preserve">A. Por deudor</t>
  </si>
  <si>
    <t xml:space="preserve">Gobiernos Locales</t>
  </si>
  <si>
    <t xml:space="preserve">Gobierno Central</t>
  </si>
  <si>
    <t xml:space="preserve">Inst. Púb. No Financieras</t>
  </si>
  <si>
    <t xml:space="preserve">Empresas Públicas y Mixtas</t>
  </si>
  <si>
    <t xml:space="preserve">Subtotal SPNF</t>
  </si>
  <si>
    <t xml:space="preserve">Inst. Púb. Financieras</t>
  </si>
  <si>
    <t xml:space="preserve">Sector Privado con Garantía Pública</t>
  </si>
  <si>
    <t xml:space="preserve">B. Por acreedor</t>
  </si>
  <si>
    <t xml:space="preserve">Multilateral (BID, BM, CAF, otros)</t>
  </si>
  <si>
    <t xml:space="preserve">Bilateral</t>
  </si>
  <si>
    <t xml:space="preserve">Privados</t>
  </si>
  <si>
    <t xml:space="preserve">HALLAZGO: la deuda externa pública casi se duplica en el período, de 2,891 millones USD (2010) a 5,736 millones USD (2014), con el Gobierno Central como componente creciente dominante. Esto coincide con el año de quiebre fiscal (2014, primer déficit desde 2006, ver Hoja 06) — consistente con mayor recurso a financiamiento externo cuando el espacio fiscal interno se estrecha. Los totales de los cuadros "por deudor" y "por acreedor" coinciden entre sí (diferencia menor a 0.05%, redondeo), buena señal de consistencia interna de la fuente.</t>
  </si>
  <si>
    <t xml:space="preserve">Bloque 5 — IPC General, IPC Alimentos e Inflación a 12 Meses, mensual 2010-2014</t>
  </si>
  <si>
    <t xml:space="preserve">Fuente: INE/UDAPE, Cuadros 1.5.2.1 (IPC mensual) y 1.5.2.4 (Inflación a 12 meses). IPC-Alimentos: cuadro específico de alimentos, base 2007.</t>
  </si>
  <si>
    <t xml:space="preserve">IPC General (índice)</t>
  </si>
  <si>
    <t xml:space="preserve">IPC Alimentos (índice)</t>
  </si>
  <si>
    <t xml:space="preserve">Inflación a 12 meses (%)</t>
  </si>
  <si>
    <t xml:space="preserve">HALLAZGO: la inflación a 12 meses salta de ~4.7-5.1% (ene-jun 2013) a 7.1-7.5% (sep-oct 2013), justo cuando el IPC Alimentos también acelera (162.9 en enero a 178.2 en octubre). Confirma el "choque de alimentos" 2013 que el artículo v1 mencionaba sin respaldo cuantitativo — ver desagregación por producto en Hoja 18.</t>
  </si>
  <si>
    <t xml:space="preserve">Bloque 5 — Inflación Núcleo y Subyacente (variación %), mensual 2010-2014</t>
  </si>
  <si>
    <t xml:space="preserve">Fuente: BCB, "Índice de Tendencia Inflacionaria Núcleo" y "...Subyacente". Variación % mensual, acumulada y a 12 meses.</t>
  </si>
  <si>
    <t xml:space="preserve">Núcleo mensual</t>
  </si>
  <si>
    <t xml:space="preserve">Núcleo a 12m</t>
  </si>
  <si>
    <t xml:space="preserve">Subyacente mensual</t>
  </si>
  <si>
    <t xml:space="preserve">Subyacente a 12m</t>
  </si>
  <si>
    <t xml:space="preserve">HALLAZGO: a diciembre de 2013, núcleo (4.14%) y subyacente (4.34%) a 12 meses quedan muy por debajo de la inflación GENERAL a 12 meses (6.48%, Hoja 15) — confirma que el salto de 2013 fue impulsado por un componente volátil (alimentos), no por presión de demanda generalizada. Esto respalda técnicamente distinguir "inflación de demanda" vs. "inflación de oferta" en el bloque de precios del motor corregido (Capítulo 5).</t>
  </si>
  <si>
    <t xml:space="preserve">Bloque 5 — Precio Implícito de Exportación de Gas Natural, con verificación cruzada entre dos fuentes</t>
  </si>
  <si>
    <t xml:space="preserve">METODOLOGÍA: no existe una serie publicada de "precio de exportación de gas" per se — se calcula como Valor/Volumen (o Valor/Peso) a partir de dos cuadros distintos de comercio exterior. Se muestran ambos aquí, uno junto al otro, para verificar que describen la misma realidad antes de usarlos.</t>
  </si>
  <si>
    <t xml:space="preserve">A. Fuente 1 — "Exportación de Hidrocarburos" (BCB), volumen en millones de m³</t>
  </si>
  <si>
    <t xml:space="preserve">Volumen exportado (millones m³)</t>
  </si>
  <si>
    <t xml:space="preserve">Valor exportado (miles USD)</t>
  </si>
  <si>
    <t xml:space="preserve">Precio implícito (USD/m³)</t>
  </si>
  <si>
    <t xml:space="preserve">B. Fuente 2 — "Exportaciones según Actividad Económica y Producto" (BCB), peso en toneladas</t>
  </si>
  <si>
    <t xml:space="preserve">Valor exportado (millones USD)</t>
  </si>
  <si>
    <t xml:space="preserve">Precio implícito (USD/tonelada)</t>
  </si>
  <si>
    <t xml:space="preserve">C. Verificación cruzada entre ambas fuentes (año de superposición: 2012)</t>
  </si>
  <si>
    <t xml:space="preserve">Valor (Fuente 1, miles USD → millones USD, año 2012)</t>
  </si>
  <si>
    <t xml:space="preserve">Valor (Fuente 2, millones USD, año 2012)</t>
  </si>
  <si>
    <t xml:space="preserve">Diferencia (%)</t>
  </si>
  <si>
    <t xml:space="preserve">VERIFICACIÓN: el valor exportado de gas natural en 2012 coincide entre ambas fuentes con una diferencia menor a 0.001% — confirma que describen la misma transacción real de comercio exterior (mismo registro aduanero subyacente). Los precios en unidades distintas (USD/m³ vs. USD/tonelada) no son comparables entre sí directamente, pero ambos muestran la misma tendencia: alza hasta 2012 y descenso en 2013-2014, consistente con la fórmula de precios ligada a una canasta de fuel oil con rezago sobre el ciclo del petróleo.</t>
  </si>
  <si>
    <t xml:space="preserve">Resumen — Precio implícito por año (USD/tonelada, serie completa y consistente 2010-2014)</t>
  </si>
  <si>
    <t xml:space="preserve">Precio implícito de exportación (USD/tonelada)</t>
  </si>
  <si>
    <t xml:space="preserve">RECOMENDACIÓN DE USO: usar esta última fila (USD/tonelada, Fuente 2) como serie principal del precio de exportación del gas para todo el período 2010-2014, porque es la única con unidad consistente en los 5 años — evita mezclar USD/m³ (solo 2012-2014) con otra unidad para 2010-2011.</t>
  </si>
  <si>
    <t xml:space="preserve">Bloque 5 — Choque de Alimentos 2013: Papa, Tomate y Pollo vs. IPC Alimentos agregado</t>
  </si>
  <si>
    <t xml:space="preserve">Fuente: INE/UDAPE, "IPC por Producto" (Base 2007). Índices de precios, no ponderados por su peso individual en la canasta.</t>
  </si>
  <si>
    <t xml:space="preserve">MES 2013</t>
  </si>
  <si>
    <t xml:space="preserve">IPC Alimentos (agregado)</t>
  </si>
  <si>
    <t xml:space="preserve">Papa</t>
  </si>
  <si>
    <t xml:space="preserve">Tomate</t>
  </si>
  <si>
    <t xml:space="preserve">Carne de pollo (entero)</t>
  </si>
  <si>
    <t xml:space="preserve">Presas de pollo</t>
  </si>
  <si>
    <t xml:space="preserve">HALLAZGO CENTRAL: entre mayo y octubre de 2013, el índice de Papa sube de 156.8 a 277.0 (+77%), el de Tomate de 257.2 a 547.8 (+113%), y el de Carne de pollo de 148.1 a 173.2 (+17%) — todos alcanzando su pico entre agosto y octubre, exactamente cuando la inflación general a 12 meses también toca su máximo del año (Hoja 15). Esto reemplaza la mención descriptiva sin respaldo del artículo v1 ("choque papa/tomate/pollo") por evidencia verificable a nivel de producto individual.</t>
  </si>
  <si>
    <t xml:space="preserve">Bloque 6 — Laboral y Social: Empleo, Salarios y Pobreza, 2010-2014</t>
  </si>
  <si>
    <t xml:space="preserve">ADVERTENCIA: 2010 no tiene Encuesta de Hogares — el INE no la levantó ese año (confirmado en la nota de fuente del propio cuadro UDAPE). No se interpola; se deja marcado explícitamente como "sin encuesta" en las filas de empleo y pobreza.</t>
  </si>
  <si>
    <t xml:space="preserve">A. Salario Mínimo Nacional</t>
  </si>
  <si>
    <t xml:space="preserve">Salario Mínimo Nacional (Bs)</t>
  </si>
  <si>
    <t xml:space="preserve">Decreto Supremo</t>
  </si>
  <si>
    <t xml:space="preserve">D.S. Nº 0497</t>
  </si>
  <si>
    <t xml:space="preserve">D.S. Nº 0809</t>
  </si>
  <si>
    <t xml:space="preserve">D.S. Nº 1213</t>
  </si>
  <si>
    <t xml:space="preserve">D.S. Nº 1549</t>
  </si>
  <si>
    <t xml:space="preserve">D.S. Nº 1988</t>
  </si>
  <si>
    <t xml:space="preserve">Fecha de promulgación</t>
  </si>
  <si>
    <t xml:space="preserve">2010-05-01</t>
  </si>
  <si>
    <t xml:space="preserve">2011-03-02</t>
  </si>
  <si>
    <t xml:space="preserve">2012-05-01</t>
  </si>
  <si>
    <t xml:space="preserve">2013-04-10</t>
  </si>
  <si>
    <t xml:space="preserve">2014-05-01</t>
  </si>
  <si>
    <t xml:space="preserve">B. Empleo (Nacional, personas de 10 años o más)</t>
  </si>
  <si>
    <t xml:space="preserve">Población Económicamente Activa (PEA)</t>
  </si>
  <si>
    <t xml:space="preserve">sin encuesta</t>
  </si>
  <si>
    <t xml:space="preserve">Población Ocupada (PO)</t>
  </si>
  <si>
    <t xml:space="preserve">Población Desocupada (PD)</t>
  </si>
  <si>
    <t xml:space="preserve">Tasa de Desempleo Abierto (%)</t>
  </si>
  <si>
    <t xml:space="preserve">C. Pobreza (Bolivia, método línea de pobreza)</t>
  </si>
  <si>
    <t xml:space="preserve">Incidencia de pobreza moderada (%)</t>
  </si>
  <si>
    <t xml:space="preserve">Incidencia de pobreza extrema (%)</t>
  </si>
  <si>
    <t xml:space="preserve">Índice de Gini</t>
  </si>
  <si>
    <t xml:space="preserve">D. Afiliación a la Seguridad Social de Largo Plazo (SIP)</t>
  </si>
  <si>
    <t xml:space="preserve">Asegurados registrados en el SIP (personas)</t>
  </si>
  <si>
    <t xml:space="preserve">HALLAZGO: la pobreza moderada cae de 45.1% (2011) a 39.1% (2014), y la extrema de 21.0% a 17.2% — descenso sostenido consistente con la dolarización decreciente (Hoja 11) y el buen momento fiscal del superciclo (Hojas 06-07). El desempleo abierto se mantiene bajo y estable (2.3%-2.9%) durante todo el período.</t>
  </si>
  <si>
    <t xml:space="preserve">Bloque 7 — Precios de Commodities No Gasíferos, mensual 2010-2014</t>
  </si>
  <si>
    <t xml:space="preserve">Fuente: FMI, Primary Commodity Price System (PCPS). Zinc y Estaño en USD/tonelada métrica; Plata en USD/onza troy; Soya en USD/tonelada métrica.</t>
  </si>
  <si>
    <t xml:space="preserve">Zinc (USD/ton)</t>
  </si>
  <si>
    <t xml:space="preserve">Estaño (USD/ton)</t>
  </si>
  <si>
    <t xml:space="preserve">Plata (USD/oz troy)</t>
  </si>
  <si>
    <t xml:space="preserve">Soya (USD/ton)</t>
  </si>
  <si>
    <t xml:space="preserve">Bloque 7 — Índice Oceánico El Niño (ONI), estacional (3 meses móviles), 2010-2014</t>
  </si>
  <si>
    <t xml:space="preserve">Fuente: NOAA, Climate Prediction Center. Anomalía de temperatura superficial del mar en la región Niño 3.4. ONI ≥ 0.5 = El Niño; ONI ≤ -0.5 = La Niña; entre medio = Neutral.</t>
  </si>
  <si>
    <t xml:space="preserve">DJF</t>
  </si>
  <si>
    <t xml:space="preserve">JFM</t>
  </si>
  <si>
    <t xml:space="preserve">FMA</t>
  </si>
  <si>
    <t xml:space="preserve">MAM</t>
  </si>
  <si>
    <t xml:space="preserve">AMJ</t>
  </si>
  <si>
    <t xml:space="preserve">MJJ</t>
  </si>
  <si>
    <t xml:space="preserve">JJA</t>
  </si>
  <si>
    <t xml:space="preserve">JAS</t>
  </si>
  <si>
    <t xml:space="preserve">ASO</t>
  </si>
  <si>
    <t xml:space="preserve">SON</t>
  </si>
  <si>
    <t xml:space="preserve">OND</t>
  </si>
  <si>
    <t xml:space="preserve">NDJ</t>
  </si>
  <si>
    <t xml:space="preserve">HALLAZGO: en ASO-SON de 2013 (agosto-octubre, el pico exacto del choque de alimentos documentado en la Hoja 18), el ONI está en -0.21 a -0.13 — prácticamente neutral, sin El Niño ni La Niña marcados. Esto sugiere que el choque papa/tomate/pollo de 2013 NO respondió a un evento ENSO de gran escala, sino probablemente a un factor de oferta interna (estacionalidad de cosecha u otro shock puntual) — no forzar una narrativa climática donde el dato no la sostiene. 2010, en cambio, sí muestra una transición neta de El Niño moderado (DJF: +1.50) a La Niña fuerte (SON: -1.64), consistente con el evento ENSO 2009-2011 bien documentado.</t>
  </si>
</sst>
</file>

<file path=xl/styles.xml><?xml version="1.0" encoding="utf-8"?>
<styleSheet xmlns="http://schemas.openxmlformats.org/spreadsheetml/2006/main">
  <numFmts count="8">
    <numFmt numFmtId="164" formatCode="General"/>
    <numFmt numFmtId="165" formatCode="#,##0"/>
    <numFmt numFmtId="166" formatCode="0.0000"/>
    <numFmt numFmtId="167" formatCode="0.00"/>
    <numFmt numFmtId="168" formatCode="#,##0.0"/>
    <numFmt numFmtId="169" formatCode="0.0"/>
    <numFmt numFmtId="170" formatCode="0.000"/>
    <numFmt numFmtId="171" formatCode="#,##0.00"/>
  </numFmts>
  <fonts count="17">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b val="true"/>
      <sz val="10"/>
      <name val="Arial"/>
      <family val="0"/>
      <charset val="1"/>
    </font>
    <font>
      <sz val="9"/>
      <name val="Arial"/>
      <family val="0"/>
      <charset val="1"/>
    </font>
    <font>
      <b val="true"/>
      <sz val="14"/>
      <color rgb="FFFFFFFF"/>
      <name val="Arial"/>
      <family val="0"/>
      <charset val="1"/>
    </font>
    <font>
      <i val="true"/>
      <sz val="9"/>
      <color rgb="FF666666"/>
      <name val="Arial"/>
      <family val="0"/>
      <charset val="1"/>
    </font>
    <font>
      <b val="true"/>
      <sz val="9"/>
      <color rgb="FFFFFFFF"/>
      <name val="Arial"/>
      <family val="0"/>
      <charset val="1"/>
    </font>
    <font>
      <b val="true"/>
      <sz val="11"/>
      <color rgb="FF1F6B1F"/>
      <name val="Arial"/>
      <family val="0"/>
      <charset val="1"/>
    </font>
    <font>
      <sz val="11"/>
      <color rgb="FF0000FF"/>
      <name val="Arial"/>
      <family val="0"/>
      <charset val="1"/>
    </font>
    <font>
      <i val="true"/>
      <sz val="9"/>
      <name val="Arial"/>
      <family val="0"/>
      <charset val="1"/>
    </font>
    <font>
      <b val="true"/>
      <sz val="9"/>
      <color rgb="FF9C0006"/>
      <name val="Arial"/>
      <family val="0"/>
      <charset val="1"/>
    </font>
    <font>
      <sz val="11"/>
      <color rgb="FF000000"/>
      <name val="Arial"/>
      <family val="0"/>
      <charset val="1"/>
    </font>
    <font>
      <b val="true"/>
      <sz val="11"/>
      <color rgb="FF9C0006"/>
      <name val="Arial"/>
      <family val="0"/>
      <charset val="1"/>
    </font>
    <font>
      <i val="true"/>
      <sz val="11"/>
      <color rgb="FF9C0006"/>
      <name val="Arial"/>
      <family val="0"/>
      <charset val="1"/>
    </font>
  </fonts>
  <fills count="5">
    <fill>
      <patternFill patternType="none"/>
    </fill>
    <fill>
      <patternFill patternType="gray125"/>
    </fill>
    <fill>
      <patternFill patternType="solid">
        <fgColor rgb="FFD9E2F3"/>
        <bgColor rgb="FFD0D0D0"/>
      </patternFill>
    </fill>
    <fill>
      <patternFill patternType="solid">
        <fgColor rgb="FF1F4E78"/>
        <bgColor rgb="FF003366"/>
      </patternFill>
    </fill>
    <fill>
      <patternFill patternType="solid">
        <fgColor rgb="FFFFF3CD"/>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true" applyAlignment="true" applyProtection="false">
      <alignment horizontal="general" vertical="top" textRotation="0" wrapText="tru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tru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1F6B1F"/>
      <rgbColor rgb="FF000080"/>
      <rgbColor rgb="FF808000"/>
      <rgbColor rgb="FF800080"/>
      <rgbColor rgb="FF008080"/>
      <rgbColor rgb="FFC0C0C0"/>
      <rgbColor rgb="FF808080"/>
      <rgbColor rgb="FF9999FF"/>
      <rgbColor rgb="FF993366"/>
      <rgbColor rgb="FFFFF3CD"/>
      <rgbColor rgb="FFD9E2F3"/>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
  </cols>
  <sheetData>
    <row r="1" customFormat="false" ht="15" hidden="false" customHeight="false" outlineLevel="0" collapsed="false">
      <c r="A1" s="1" t="s">
        <v>0</v>
      </c>
      <c r="B1" s="1"/>
    </row>
    <row r="3" customFormat="false" ht="15" hidden="false" customHeight="false" outlineLevel="0" collapsed="false">
      <c r="A3" s="2" t="s">
        <v>1</v>
      </c>
      <c r="B3" s="2"/>
    </row>
    <row r="4" customFormat="false" ht="60" hidden="false" customHeight="true" outlineLevel="0" collapsed="false">
      <c r="A4" s="3" t="s">
        <v>2</v>
      </c>
      <c r="B4" s="3"/>
    </row>
    <row r="6" customFormat="false" ht="15" hidden="false" customHeight="false" outlineLevel="0" collapsed="false">
      <c r="A6" s="2" t="s">
        <v>3</v>
      </c>
      <c r="B6" s="2"/>
    </row>
    <row r="7" customFormat="false" ht="60" hidden="false" customHeight="true" outlineLevel="0" collapsed="false">
      <c r="A7" s="3" t="s">
        <v>4</v>
      </c>
      <c r="B7" s="3"/>
    </row>
    <row r="9" customFormat="false" ht="15" hidden="false" customHeight="false" outlineLevel="0" collapsed="false">
      <c r="A9" s="2" t="s">
        <v>5</v>
      </c>
      <c r="B9" s="2"/>
    </row>
    <row r="10" customFormat="false" ht="60" hidden="false" customHeight="true" outlineLevel="0" collapsed="false">
      <c r="A10" s="3" t="s">
        <v>6</v>
      </c>
      <c r="B10" s="3"/>
    </row>
    <row r="12" customFormat="false" ht="15" hidden="false" customHeight="false" outlineLevel="0" collapsed="false">
      <c r="A12" s="2" t="s">
        <v>7</v>
      </c>
      <c r="B12" s="2"/>
    </row>
    <row r="13" customFormat="false" ht="60" hidden="false" customHeight="true" outlineLevel="0" collapsed="false">
      <c r="A13" s="3" t="s">
        <v>8</v>
      </c>
      <c r="B13" s="3"/>
    </row>
    <row r="15" customFormat="false" ht="15" hidden="false" customHeight="false" outlineLevel="0" collapsed="false">
      <c r="A15" s="2" t="s">
        <v>9</v>
      </c>
      <c r="B15" s="2"/>
    </row>
    <row r="16" customFormat="false" ht="60" hidden="false" customHeight="true" outlineLevel="0" collapsed="false">
      <c r="A16" s="3" t="s">
        <v>10</v>
      </c>
      <c r="B16" s="3"/>
    </row>
    <row r="18" customFormat="false" ht="15" hidden="false" customHeight="false" outlineLevel="0" collapsed="false">
      <c r="A18" s="2" t="s">
        <v>11</v>
      </c>
      <c r="B18" s="2"/>
    </row>
    <row r="19" customFormat="false" ht="60" hidden="false" customHeight="true" outlineLevel="0" collapsed="false">
      <c r="A19" s="3" t="s">
        <v>12</v>
      </c>
      <c r="B19" s="3"/>
    </row>
    <row r="21" customFormat="false" ht="15" hidden="false" customHeight="false" outlineLevel="0" collapsed="false">
      <c r="A21" s="2" t="s">
        <v>13</v>
      </c>
      <c r="B21" s="2"/>
    </row>
    <row r="22" customFormat="false" ht="60" hidden="false" customHeight="true" outlineLevel="0" collapsed="false">
      <c r="A22" s="3" t="s">
        <v>14</v>
      </c>
      <c r="B22" s="3"/>
    </row>
    <row r="24" customFormat="false" ht="15" hidden="false" customHeight="false" outlineLevel="0" collapsed="false">
      <c r="A24" s="2" t="s">
        <v>15</v>
      </c>
      <c r="B24" s="2"/>
    </row>
    <row r="25" customFormat="false" ht="60" hidden="false" customHeight="true" outlineLevel="0" collapsed="false">
      <c r="A25" s="3" t="s">
        <v>16</v>
      </c>
      <c r="B25" s="3"/>
    </row>
    <row r="27" customFormat="false" ht="15" hidden="false" customHeight="false" outlineLevel="0" collapsed="false">
      <c r="A27" s="2" t="s">
        <v>17</v>
      </c>
      <c r="B27" s="2"/>
    </row>
    <row r="28" customFormat="false" ht="60" hidden="false" customHeight="true" outlineLevel="0" collapsed="false">
      <c r="A28" s="3" t="s">
        <v>18</v>
      </c>
      <c r="B28" s="3"/>
    </row>
    <row r="30" customFormat="false" ht="15" hidden="false" customHeight="false" outlineLevel="0" collapsed="false">
      <c r="A30" s="2" t="s">
        <v>19</v>
      </c>
      <c r="B30" s="2"/>
    </row>
    <row r="31" customFormat="false" ht="60" hidden="false" customHeight="true" outlineLevel="0" collapsed="false">
      <c r="A31" s="3" t="s">
        <v>20</v>
      </c>
      <c r="B31" s="3"/>
    </row>
    <row r="33" customFormat="false" ht="15" hidden="false" customHeight="false" outlineLevel="0" collapsed="false">
      <c r="A33" s="2" t="s">
        <v>21</v>
      </c>
      <c r="B33" s="2"/>
    </row>
    <row r="34" customFormat="false" ht="60" hidden="false" customHeight="true" outlineLevel="0" collapsed="false">
      <c r="A34" s="3" t="s">
        <v>22</v>
      </c>
      <c r="B34" s="3"/>
    </row>
    <row r="36" customFormat="false" ht="15" hidden="false" customHeight="false" outlineLevel="0" collapsed="false">
      <c r="A36" s="2" t="s">
        <v>23</v>
      </c>
      <c r="B36" s="2"/>
    </row>
    <row r="37" customFormat="false" ht="60" hidden="false" customHeight="true" outlineLevel="0" collapsed="false">
      <c r="A37" s="3" t="s">
        <v>24</v>
      </c>
      <c r="B37" s="3"/>
    </row>
    <row r="39" customFormat="false" ht="15" hidden="false" customHeight="false" outlineLevel="0" collapsed="false">
      <c r="A39" s="2" t="s">
        <v>25</v>
      </c>
      <c r="B39" s="2"/>
    </row>
    <row r="40" customFormat="false" ht="60" hidden="false" customHeight="true" outlineLevel="0" collapsed="false">
      <c r="A40" s="3" t="s">
        <v>26</v>
      </c>
      <c r="B40" s="3"/>
    </row>
    <row r="42" customFormat="false" ht="15" hidden="false" customHeight="false" outlineLevel="0" collapsed="false">
      <c r="A42" s="2" t="s">
        <v>27</v>
      </c>
      <c r="B42" s="2"/>
    </row>
    <row r="43" customFormat="false" ht="60" hidden="false" customHeight="true" outlineLevel="0" collapsed="false">
      <c r="A43" s="3" t="s">
        <v>28</v>
      </c>
      <c r="B43" s="3"/>
    </row>
    <row r="45" customFormat="false" ht="15" hidden="false" customHeight="false" outlineLevel="0" collapsed="false">
      <c r="A45" s="2" t="s">
        <v>29</v>
      </c>
      <c r="B45" s="2"/>
    </row>
    <row r="46" customFormat="false" ht="60" hidden="false" customHeight="true" outlineLevel="0" collapsed="false">
      <c r="A46" s="3" t="s">
        <v>30</v>
      </c>
      <c r="B46" s="3"/>
    </row>
    <row r="48" customFormat="false" ht="15" hidden="false" customHeight="false" outlineLevel="0" collapsed="false">
      <c r="A48" s="2" t="s">
        <v>31</v>
      </c>
      <c r="B48" s="2"/>
    </row>
    <row r="49" customFormat="false" ht="60" hidden="false" customHeight="true" outlineLevel="0" collapsed="false">
      <c r="A49" s="3" t="s">
        <v>32</v>
      </c>
      <c r="B49" s="3"/>
    </row>
    <row r="51" customFormat="false" ht="15" hidden="false" customHeight="false" outlineLevel="0" collapsed="false">
      <c r="A51" s="2" t="s">
        <v>33</v>
      </c>
      <c r="B51" s="2"/>
    </row>
    <row r="52" customFormat="false" ht="60" hidden="false" customHeight="true" outlineLevel="0" collapsed="false">
      <c r="A52" s="3" t="s">
        <v>34</v>
      </c>
      <c r="B52" s="3"/>
    </row>
    <row r="54" customFormat="false" ht="15" hidden="false" customHeight="false" outlineLevel="0" collapsed="false">
      <c r="A54" s="2" t="s">
        <v>35</v>
      </c>
      <c r="B54" s="2"/>
    </row>
    <row r="55" customFormat="false" ht="60" hidden="false" customHeight="true" outlineLevel="0" collapsed="false">
      <c r="A55" s="3" t="s">
        <v>36</v>
      </c>
      <c r="B55" s="3"/>
    </row>
    <row r="57" customFormat="false" ht="15" hidden="false" customHeight="false" outlineLevel="0" collapsed="false">
      <c r="A57" s="2" t="s">
        <v>37</v>
      </c>
      <c r="B57" s="2"/>
    </row>
    <row r="58" customFormat="false" ht="60" hidden="false" customHeight="true" outlineLevel="0" collapsed="false">
      <c r="A58" s="3" t="s">
        <v>38</v>
      </c>
      <c r="B58" s="3"/>
    </row>
    <row r="60" customFormat="false" ht="15" hidden="false" customHeight="false" outlineLevel="0" collapsed="false">
      <c r="A60" s="2" t="s">
        <v>39</v>
      </c>
      <c r="B60" s="2"/>
    </row>
    <row r="61" customFormat="false" ht="60" hidden="false" customHeight="true" outlineLevel="0" collapsed="false">
      <c r="A61" s="3" t="s">
        <v>40</v>
      </c>
      <c r="B61" s="3"/>
    </row>
    <row r="63" customFormat="false" ht="15" hidden="false" customHeight="false" outlineLevel="0" collapsed="false">
      <c r="A63" s="2" t="s">
        <v>41</v>
      </c>
      <c r="B63" s="2"/>
    </row>
    <row r="64" customFormat="false" ht="60" hidden="false" customHeight="true" outlineLevel="0" collapsed="false">
      <c r="A64" s="3" t="s">
        <v>42</v>
      </c>
      <c r="B64" s="3"/>
    </row>
    <row r="66" customFormat="false" ht="15" hidden="false" customHeight="false" outlineLevel="0" collapsed="false">
      <c r="A66" s="2" t="s">
        <v>43</v>
      </c>
      <c r="B66" s="2"/>
    </row>
    <row r="67" customFormat="false" ht="60" hidden="false" customHeight="true" outlineLevel="0" collapsed="false">
      <c r="A67" s="3" t="s">
        <v>44</v>
      </c>
      <c r="B67" s="3"/>
    </row>
    <row r="69" customFormat="false" ht="15" hidden="false" customHeight="false" outlineLevel="0" collapsed="false">
      <c r="A69" s="2" t="s">
        <v>45</v>
      </c>
      <c r="B69" s="2"/>
    </row>
    <row r="70" customFormat="false" ht="60" hidden="false" customHeight="true" outlineLevel="0" collapsed="false">
      <c r="A70" s="3" t="s">
        <v>46</v>
      </c>
      <c r="B70" s="3"/>
    </row>
  </sheetData>
  <mergeCells count="47">
    <mergeCell ref="A1:B1"/>
    <mergeCell ref="A3:B3"/>
    <mergeCell ref="A4:B4"/>
    <mergeCell ref="A6:B6"/>
    <mergeCell ref="A7:B7"/>
    <mergeCell ref="A9:B9"/>
    <mergeCell ref="A10:B10"/>
    <mergeCell ref="A12:B12"/>
    <mergeCell ref="A13:B13"/>
    <mergeCell ref="A15:B15"/>
    <mergeCell ref="A16:B16"/>
    <mergeCell ref="A18:B18"/>
    <mergeCell ref="A19:B19"/>
    <mergeCell ref="A21:B21"/>
    <mergeCell ref="A22:B22"/>
    <mergeCell ref="A24:B24"/>
    <mergeCell ref="A25:B25"/>
    <mergeCell ref="A27:B27"/>
    <mergeCell ref="A28:B28"/>
    <mergeCell ref="A30:B30"/>
    <mergeCell ref="A31:B31"/>
    <mergeCell ref="A33:B33"/>
    <mergeCell ref="A34:B34"/>
    <mergeCell ref="A36:B36"/>
    <mergeCell ref="A37:B37"/>
    <mergeCell ref="A39:B39"/>
    <mergeCell ref="A40:B40"/>
    <mergeCell ref="A42:B42"/>
    <mergeCell ref="A43:B43"/>
    <mergeCell ref="A45:B45"/>
    <mergeCell ref="A46:B46"/>
    <mergeCell ref="A48:B48"/>
    <mergeCell ref="A49:B49"/>
    <mergeCell ref="A51:B51"/>
    <mergeCell ref="A52:B52"/>
    <mergeCell ref="A54:B54"/>
    <mergeCell ref="A55:B55"/>
    <mergeCell ref="A57:B57"/>
    <mergeCell ref="A58:B58"/>
    <mergeCell ref="A60:B60"/>
    <mergeCell ref="A61:B61"/>
    <mergeCell ref="A63:B63"/>
    <mergeCell ref="A64:B64"/>
    <mergeCell ref="A66:B66"/>
    <mergeCell ref="A67:B67"/>
    <mergeCell ref="A69:B69"/>
    <mergeCell ref="A70:B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6"/>
    <col collapsed="false" customWidth="true" hidden="false" outlineLevel="0" max="4" min="4" style="0" width="34"/>
    <col collapsed="false" customWidth="true" hidden="false" outlineLevel="0" max="5" min="5" style="0" width="20"/>
    <col collapsed="false" customWidth="true" hidden="false" outlineLevel="0" max="6" min="6" style="0" width="11"/>
    <col collapsed="false" customWidth="true" hidden="false" outlineLevel="0" max="7" min="7" style="0" width="16"/>
    <col collapsed="false" customWidth="true" hidden="false" outlineLevel="0" max="8" min="8" style="0" width="34"/>
  </cols>
  <sheetData>
    <row r="1" customFormat="false" ht="17.35" hidden="false" customHeight="false" outlineLevel="0" collapsed="false">
      <c r="A1" s="4" t="s">
        <v>47</v>
      </c>
      <c r="B1" s="4"/>
      <c r="C1" s="4"/>
      <c r="D1" s="4"/>
      <c r="E1" s="4"/>
      <c r="F1" s="4"/>
      <c r="G1" s="4"/>
      <c r="H1" s="4"/>
    </row>
    <row r="2" customFormat="false" ht="15" hidden="false" customHeight="false" outlineLevel="0" collapsed="false">
      <c r="A2" s="5" t="s">
        <v>48</v>
      </c>
      <c r="B2" s="5"/>
      <c r="C2" s="5"/>
      <c r="D2" s="5"/>
      <c r="E2" s="5"/>
      <c r="F2" s="5"/>
      <c r="G2" s="5"/>
      <c r="H2" s="5"/>
    </row>
    <row r="4" customFormat="false" ht="15" hidden="false" customHeight="false" outlineLevel="0" collapsed="false">
      <c r="A4" s="6" t="s">
        <v>49</v>
      </c>
      <c r="B4" s="6" t="s">
        <v>50</v>
      </c>
      <c r="C4" s="6" t="s">
        <v>51</v>
      </c>
      <c r="D4" s="6" t="s">
        <v>52</v>
      </c>
      <c r="E4" s="6" t="s">
        <v>53</v>
      </c>
      <c r="F4" s="6" t="s">
        <v>54</v>
      </c>
      <c r="G4" s="6" t="s">
        <v>55</v>
      </c>
      <c r="H4" s="6" t="s">
        <v>56</v>
      </c>
    </row>
    <row r="5" customFormat="false" ht="22.35" hidden="false" customHeight="false" outlineLevel="0" collapsed="false">
      <c r="A5" s="7" t="s">
        <v>57</v>
      </c>
      <c r="B5" s="7" t="s">
        <v>58</v>
      </c>
      <c r="C5" s="7" t="s">
        <v>59</v>
      </c>
      <c r="D5" s="7" t="s">
        <v>60</v>
      </c>
      <c r="E5" s="7" t="s">
        <v>61</v>
      </c>
      <c r="F5" s="7" t="s">
        <v>62</v>
      </c>
      <c r="G5" s="7" t="s">
        <v>63</v>
      </c>
      <c r="H5" s="7" t="s">
        <v>64</v>
      </c>
    </row>
    <row r="6" customFormat="false" ht="22.35" hidden="false" customHeight="false" outlineLevel="0" collapsed="false">
      <c r="A6" s="7" t="s">
        <v>65</v>
      </c>
      <c r="B6" s="7" t="s">
        <v>66</v>
      </c>
      <c r="C6" s="7" t="s">
        <v>59</v>
      </c>
      <c r="D6" s="7" t="s">
        <v>67</v>
      </c>
      <c r="E6" s="7" t="s">
        <v>61</v>
      </c>
      <c r="F6" s="7" t="s">
        <v>62</v>
      </c>
      <c r="G6" s="7" t="s">
        <v>68</v>
      </c>
      <c r="H6" s="7" t="s">
        <v>64</v>
      </c>
    </row>
    <row r="7" customFormat="false" ht="22.35" hidden="false" customHeight="false" outlineLevel="0" collapsed="false">
      <c r="A7" s="7" t="s">
        <v>69</v>
      </c>
      <c r="B7" s="7" t="s">
        <v>70</v>
      </c>
      <c r="C7" s="7" t="s">
        <v>59</v>
      </c>
      <c r="D7" s="7" t="s">
        <v>71</v>
      </c>
      <c r="E7" s="7" t="s">
        <v>61</v>
      </c>
      <c r="F7" s="7" t="s">
        <v>62</v>
      </c>
      <c r="G7" s="7" t="s">
        <v>72</v>
      </c>
      <c r="H7" s="7" t="s">
        <v>73</v>
      </c>
    </row>
    <row r="8" customFormat="false" ht="22.35" hidden="false" customHeight="false" outlineLevel="0" collapsed="false">
      <c r="A8" s="7" t="s">
        <v>74</v>
      </c>
      <c r="B8" s="7" t="s">
        <v>75</v>
      </c>
      <c r="C8" s="7" t="s">
        <v>59</v>
      </c>
      <c r="D8" s="7" t="s">
        <v>76</v>
      </c>
      <c r="E8" s="7" t="s">
        <v>61</v>
      </c>
      <c r="F8" s="7" t="s">
        <v>62</v>
      </c>
      <c r="G8" s="7" t="s">
        <v>63</v>
      </c>
      <c r="H8" s="7" t="s">
        <v>77</v>
      </c>
    </row>
    <row r="9" customFormat="false" ht="22.35" hidden="false" customHeight="false" outlineLevel="0" collapsed="false">
      <c r="A9" s="7" t="s">
        <v>78</v>
      </c>
      <c r="B9" s="7" t="s">
        <v>79</v>
      </c>
      <c r="C9" s="7" t="s">
        <v>59</v>
      </c>
      <c r="D9" s="7" t="s">
        <v>80</v>
      </c>
      <c r="E9" s="7" t="s">
        <v>61</v>
      </c>
      <c r="F9" s="7" t="s">
        <v>62</v>
      </c>
      <c r="G9" s="7" t="s">
        <v>68</v>
      </c>
      <c r="H9" s="7" t="s">
        <v>81</v>
      </c>
    </row>
    <row r="10" customFormat="false" ht="15" hidden="false" customHeight="false" outlineLevel="0" collapsed="false">
      <c r="A10" s="7" t="s">
        <v>82</v>
      </c>
      <c r="B10" s="7" t="s">
        <v>83</v>
      </c>
      <c r="C10" s="7" t="s">
        <v>59</v>
      </c>
      <c r="D10" s="7" t="s">
        <v>84</v>
      </c>
      <c r="E10" s="7" t="s">
        <v>61</v>
      </c>
      <c r="F10" s="7" t="s">
        <v>62</v>
      </c>
      <c r="G10" s="7" t="s">
        <v>72</v>
      </c>
      <c r="H10" s="7" t="s">
        <v>85</v>
      </c>
    </row>
    <row r="11" customFormat="false" ht="22.35" hidden="false" customHeight="false" outlineLevel="0" collapsed="false">
      <c r="A11" s="7" t="s">
        <v>86</v>
      </c>
      <c r="B11" s="7" t="s">
        <v>87</v>
      </c>
      <c r="C11" s="7" t="s">
        <v>59</v>
      </c>
      <c r="D11" s="7" t="s">
        <v>88</v>
      </c>
      <c r="E11" s="7" t="s">
        <v>61</v>
      </c>
      <c r="F11" s="7" t="s">
        <v>62</v>
      </c>
      <c r="G11" s="7" t="s">
        <v>72</v>
      </c>
      <c r="H11" s="7" t="s">
        <v>85</v>
      </c>
    </row>
    <row r="12" customFormat="false" ht="22.35" hidden="false" customHeight="false" outlineLevel="0" collapsed="false">
      <c r="A12" s="7" t="s">
        <v>89</v>
      </c>
      <c r="B12" s="7" t="s">
        <v>90</v>
      </c>
      <c r="C12" s="7" t="s">
        <v>91</v>
      </c>
      <c r="D12" s="7" t="s">
        <v>92</v>
      </c>
      <c r="E12" s="7" t="s">
        <v>93</v>
      </c>
      <c r="F12" s="7" t="s">
        <v>94</v>
      </c>
      <c r="G12" s="7" t="s">
        <v>95</v>
      </c>
      <c r="H12" s="7" t="s">
        <v>96</v>
      </c>
    </row>
    <row r="13" customFormat="false" ht="32.8" hidden="false" customHeight="false" outlineLevel="0" collapsed="false">
      <c r="A13" s="7" t="s">
        <v>97</v>
      </c>
      <c r="B13" s="7" t="s">
        <v>98</v>
      </c>
      <c r="C13" s="7" t="s">
        <v>91</v>
      </c>
      <c r="D13" s="7" t="s">
        <v>99</v>
      </c>
      <c r="E13" s="7" t="s">
        <v>93</v>
      </c>
      <c r="F13" s="7" t="s">
        <v>94</v>
      </c>
      <c r="G13" s="7" t="s">
        <v>95</v>
      </c>
      <c r="H13" s="7" t="s">
        <v>100</v>
      </c>
    </row>
    <row r="14" customFormat="false" ht="32.8" hidden="false" customHeight="false" outlineLevel="0" collapsed="false">
      <c r="A14" s="7" t="s">
        <v>101</v>
      </c>
      <c r="B14" s="7" t="s">
        <v>102</v>
      </c>
      <c r="C14" s="7" t="s">
        <v>103</v>
      </c>
      <c r="D14" s="7" t="s">
        <v>104</v>
      </c>
      <c r="E14" s="7" t="s">
        <v>105</v>
      </c>
      <c r="F14" s="7" t="s">
        <v>106</v>
      </c>
      <c r="G14" s="7" t="s">
        <v>107</v>
      </c>
      <c r="H14" s="7" t="s">
        <v>108</v>
      </c>
    </row>
    <row r="15" customFormat="false" ht="32.8" hidden="false" customHeight="false" outlineLevel="0" collapsed="false">
      <c r="A15" s="7" t="s">
        <v>109</v>
      </c>
      <c r="B15" s="7" t="s">
        <v>102</v>
      </c>
      <c r="C15" s="7" t="s">
        <v>103</v>
      </c>
      <c r="D15" s="7" t="s">
        <v>104</v>
      </c>
      <c r="E15" s="7" t="s">
        <v>110</v>
      </c>
      <c r="F15" s="7" t="s">
        <v>106</v>
      </c>
      <c r="G15" s="7" t="s">
        <v>107</v>
      </c>
      <c r="H15" s="7" t="s">
        <v>111</v>
      </c>
    </row>
    <row r="16" customFormat="false" ht="22.35" hidden="false" customHeight="false" outlineLevel="0" collapsed="false">
      <c r="A16" s="7" t="s">
        <v>112</v>
      </c>
      <c r="B16" s="7" t="s">
        <v>113</v>
      </c>
      <c r="C16" s="7" t="s">
        <v>114</v>
      </c>
      <c r="D16" s="7" t="s">
        <v>115</v>
      </c>
      <c r="E16" s="7" t="s">
        <v>116</v>
      </c>
      <c r="F16" s="7" t="s">
        <v>117</v>
      </c>
      <c r="G16" s="7" t="s">
        <v>107</v>
      </c>
      <c r="H16" s="7" t="s">
        <v>118</v>
      </c>
    </row>
    <row r="17" customFormat="false" ht="22.35" hidden="false" customHeight="false" outlineLevel="0" collapsed="false">
      <c r="A17" s="7" t="s">
        <v>119</v>
      </c>
      <c r="B17" s="7" t="s">
        <v>120</v>
      </c>
      <c r="C17" s="7" t="s">
        <v>121</v>
      </c>
      <c r="D17" s="7" t="s">
        <v>122</v>
      </c>
      <c r="E17" s="7" t="s">
        <v>123</v>
      </c>
      <c r="F17" s="7" t="s">
        <v>94</v>
      </c>
      <c r="G17" s="7" t="s">
        <v>124</v>
      </c>
      <c r="H17" s="7" t="s">
        <v>125</v>
      </c>
    </row>
    <row r="18" customFormat="false" ht="22.35" hidden="false" customHeight="false" outlineLevel="0" collapsed="false">
      <c r="A18" s="7" t="s">
        <v>126</v>
      </c>
      <c r="B18" s="7" t="s">
        <v>127</v>
      </c>
      <c r="C18" s="7" t="s">
        <v>128</v>
      </c>
      <c r="D18" s="7" t="s">
        <v>129</v>
      </c>
      <c r="E18" s="7" t="s">
        <v>130</v>
      </c>
      <c r="F18" s="7" t="s">
        <v>94</v>
      </c>
      <c r="G18" s="7" t="s">
        <v>131</v>
      </c>
      <c r="H18" s="7" t="s">
        <v>132</v>
      </c>
    </row>
    <row r="19" customFormat="false" ht="32.8" hidden="false" customHeight="false" outlineLevel="0" collapsed="false">
      <c r="A19" s="7" t="s">
        <v>133</v>
      </c>
      <c r="B19" s="7" t="s">
        <v>134</v>
      </c>
      <c r="C19" s="7" t="s">
        <v>128</v>
      </c>
      <c r="D19" s="7" t="s">
        <v>135</v>
      </c>
      <c r="E19" s="7" t="s">
        <v>136</v>
      </c>
      <c r="F19" s="7" t="s">
        <v>94</v>
      </c>
      <c r="G19" s="7" t="s">
        <v>124</v>
      </c>
      <c r="H19" s="7" t="s">
        <v>137</v>
      </c>
    </row>
    <row r="20" customFormat="false" ht="22.35" hidden="false" customHeight="false" outlineLevel="0" collapsed="false">
      <c r="A20" s="7" t="s">
        <v>138</v>
      </c>
      <c r="B20" s="7" t="s">
        <v>139</v>
      </c>
      <c r="C20" s="7" t="s">
        <v>121</v>
      </c>
      <c r="D20" s="7" t="s">
        <v>140</v>
      </c>
      <c r="E20" s="7" t="s">
        <v>141</v>
      </c>
      <c r="F20" s="7" t="s">
        <v>94</v>
      </c>
      <c r="G20" s="7" t="s">
        <v>142</v>
      </c>
      <c r="H20" s="7" t="s">
        <v>143</v>
      </c>
    </row>
    <row r="21" customFormat="false" ht="22.35" hidden="false" customHeight="false" outlineLevel="0" collapsed="false">
      <c r="A21" s="7" t="s">
        <v>144</v>
      </c>
      <c r="B21" s="7" t="s">
        <v>102</v>
      </c>
      <c r="C21" s="7" t="s">
        <v>114</v>
      </c>
      <c r="D21" s="7" t="s">
        <v>145</v>
      </c>
      <c r="E21" s="7" t="s">
        <v>146</v>
      </c>
      <c r="F21" s="7" t="s">
        <v>117</v>
      </c>
      <c r="G21" s="7" t="s">
        <v>131</v>
      </c>
      <c r="H21" s="7" t="s">
        <v>147</v>
      </c>
    </row>
    <row r="22" customFormat="false" ht="22.35" hidden="false" customHeight="false" outlineLevel="0" collapsed="false">
      <c r="A22" s="7" t="s">
        <v>148</v>
      </c>
      <c r="B22" s="7" t="s">
        <v>102</v>
      </c>
      <c r="C22" s="7" t="s">
        <v>114</v>
      </c>
      <c r="D22" s="7" t="s">
        <v>149</v>
      </c>
      <c r="E22" s="7" t="s">
        <v>150</v>
      </c>
      <c r="F22" s="7" t="s">
        <v>117</v>
      </c>
      <c r="G22" s="7" t="s">
        <v>131</v>
      </c>
      <c r="H22" s="7" t="s">
        <v>151</v>
      </c>
    </row>
    <row r="23" customFormat="false" ht="22.35" hidden="false" customHeight="false" outlineLevel="0" collapsed="false">
      <c r="A23" s="7" t="s">
        <v>152</v>
      </c>
      <c r="B23" s="7" t="s">
        <v>102</v>
      </c>
      <c r="C23" s="7" t="s">
        <v>114</v>
      </c>
      <c r="D23" s="7" t="s">
        <v>153</v>
      </c>
      <c r="E23" s="7" t="s">
        <v>154</v>
      </c>
      <c r="F23" s="7" t="s">
        <v>94</v>
      </c>
      <c r="G23" s="7" t="s">
        <v>131</v>
      </c>
      <c r="H23" s="7" t="s">
        <v>155</v>
      </c>
    </row>
    <row r="24" customFormat="false" ht="22.35" hidden="false" customHeight="false" outlineLevel="0" collapsed="false">
      <c r="A24" s="7" t="s">
        <v>156</v>
      </c>
      <c r="B24" s="7" t="s">
        <v>102</v>
      </c>
      <c r="C24" s="7" t="s">
        <v>157</v>
      </c>
      <c r="D24" s="7" t="s">
        <v>158</v>
      </c>
      <c r="E24" s="7" t="s">
        <v>159</v>
      </c>
      <c r="F24" s="7" t="s">
        <v>117</v>
      </c>
      <c r="G24" s="7" t="s">
        <v>160</v>
      </c>
      <c r="H24" s="7" t="s">
        <v>161</v>
      </c>
    </row>
    <row r="25" customFormat="false" ht="22.35" hidden="false" customHeight="false" outlineLevel="0" collapsed="false">
      <c r="A25" s="7" t="s">
        <v>162</v>
      </c>
      <c r="B25" s="7" t="s">
        <v>102</v>
      </c>
      <c r="C25" s="7" t="s">
        <v>114</v>
      </c>
      <c r="D25" s="7" t="s">
        <v>163</v>
      </c>
      <c r="E25" s="7" t="s">
        <v>164</v>
      </c>
      <c r="F25" s="7" t="s">
        <v>165</v>
      </c>
      <c r="G25" s="7" t="s">
        <v>124</v>
      </c>
      <c r="H25" s="7" t="s">
        <v>166</v>
      </c>
    </row>
    <row r="26" customFormat="false" ht="22.35" hidden="false" customHeight="false" outlineLevel="0" collapsed="false">
      <c r="A26" s="7" t="s">
        <v>167</v>
      </c>
      <c r="B26" s="7" t="s">
        <v>102</v>
      </c>
      <c r="C26" s="7" t="s">
        <v>114</v>
      </c>
      <c r="D26" s="7" t="s">
        <v>168</v>
      </c>
      <c r="E26" s="7" t="s">
        <v>169</v>
      </c>
      <c r="F26" s="7" t="s">
        <v>117</v>
      </c>
      <c r="G26" s="7" t="s">
        <v>131</v>
      </c>
      <c r="H26" s="7" t="s">
        <v>170</v>
      </c>
    </row>
    <row r="27" customFormat="false" ht="22.35" hidden="false" customHeight="false" outlineLevel="0" collapsed="false">
      <c r="A27" s="7" t="s">
        <v>171</v>
      </c>
      <c r="B27" s="7" t="s">
        <v>102</v>
      </c>
      <c r="C27" s="7" t="s">
        <v>114</v>
      </c>
      <c r="D27" s="7" t="s">
        <v>172</v>
      </c>
      <c r="E27" s="7" t="s">
        <v>146</v>
      </c>
      <c r="F27" s="7" t="s">
        <v>117</v>
      </c>
      <c r="G27" s="7" t="s">
        <v>131</v>
      </c>
      <c r="H27" s="7" t="s">
        <v>173</v>
      </c>
    </row>
    <row r="28" customFormat="false" ht="22.35" hidden="false" customHeight="false" outlineLevel="0" collapsed="false">
      <c r="A28" s="7" t="s">
        <v>174</v>
      </c>
      <c r="B28" s="7" t="s">
        <v>175</v>
      </c>
      <c r="C28" s="7" t="s">
        <v>176</v>
      </c>
      <c r="D28" s="7" t="s">
        <v>177</v>
      </c>
      <c r="E28" s="7" t="s">
        <v>178</v>
      </c>
      <c r="F28" s="7" t="s">
        <v>117</v>
      </c>
      <c r="G28" s="7" t="s">
        <v>160</v>
      </c>
      <c r="H28" s="7" t="s">
        <v>179</v>
      </c>
    </row>
    <row r="29" customFormat="false" ht="22.35" hidden="false" customHeight="false" outlineLevel="0" collapsed="false">
      <c r="A29" s="7" t="s">
        <v>180</v>
      </c>
      <c r="B29" s="7" t="s">
        <v>181</v>
      </c>
      <c r="C29" s="7" t="s">
        <v>176</v>
      </c>
      <c r="D29" s="7" t="s">
        <v>182</v>
      </c>
      <c r="E29" s="7" t="s">
        <v>178</v>
      </c>
      <c r="F29" s="7" t="s">
        <v>117</v>
      </c>
      <c r="G29" s="7" t="s">
        <v>160</v>
      </c>
      <c r="H29" s="7" t="s">
        <v>183</v>
      </c>
    </row>
    <row r="30" customFormat="false" ht="32.8" hidden="false" customHeight="false" outlineLevel="0" collapsed="false">
      <c r="A30" s="7" t="s">
        <v>184</v>
      </c>
      <c r="B30" s="7" t="s">
        <v>102</v>
      </c>
      <c r="C30" s="7" t="s">
        <v>185</v>
      </c>
      <c r="D30" s="7" t="s">
        <v>186</v>
      </c>
      <c r="E30" s="7" t="s">
        <v>187</v>
      </c>
      <c r="F30" s="7" t="s">
        <v>117</v>
      </c>
      <c r="G30" s="7" t="s">
        <v>131</v>
      </c>
      <c r="H30" s="7" t="s">
        <v>188</v>
      </c>
    </row>
    <row r="31" customFormat="false" ht="22.35" hidden="false" customHeight="false" outlineLevel="0" collapsed="false">
      <c r="A31" s="7" t="s">
        <v>189</v>
      </c>
      <c r="B31" s="7" t="s">
        <v>102</v>
      </c>
      <c r="C31" s="7" t="s">
        <v>185</v>
      </c>
      <c r="D31" s="7" t="s">
        <v>190</v>
      </c>
      <c r="E31" s="7" t="s">
        <v>187</v>
      </c>
      <c r="F31" s="7" t="s">
        <v>117</v>
      </c>
      <c r="G31" s="7" t="s">
        <v>131</v>
      </c>
      <c r="H31" s="7" t="s">
        <v>191</v>
      </c>
    </row>
    <row r="32" customFormat="false" ht="22.35" hidden="false" customHeight="false" outlineLevel="0" collapsed="false">
      <c r="A32" s="7" t="s">
        <v>192</v>
      </c>
      <c r="B32" s="7" t="s">
        <v>102</v>
      </c>
      <c r="C32" s="7" t="s">
        <v>114</v>
      </c>
      <c r="D32" s="7" t="s">
        <v>193</v>
      </c>
      <c r="E32" s="7" t="s">
        <v>123</v>
      </c>
      <c r="F32" s="7" t="s">
        <v>94</v>
      </c>
      <c r="G32" s="7" t="s">
        <v>194</v>
      </c>
      <c r="H32" s="7" t="s">
        <v>195</v>
      </c>
    </row>
    <row r="33" customFormat="false" ht="22.35" hidden="false" customHeight="false" outlineLevel="0" collapsed="false">
      <c r="A33" s="7" t="s">
        <v>196</v>
      </c>
      <c r="B33" s="7" t="s">
        <v>102</v>
      </c>
      <c r="C33" s="7" t="s">
        <v>185</v>
      </c>
      <c r="D33" s="7" t="s">
        <v>197</v>
      </c>
      <c r="E33" s="7" t="s">
        <v>187</v>
      </c>
      <c r="F33" s="7" t="s">
        <v>117</v>
      </c>
      <c r="G33" s="7" t="s">
        <v>131</v>
      </c>
      <c r="H33" s="7" t="s">
        <v>198</v>
      </c>
    </row>
    <row r="34" customFormat="false" ht="22.35" hidden="false" customHeight="false" outlineLevel="0" collapsed="false">
      <c r="A34" s="7" t="s">
        <v>199</v>
      </c>
      <c r="B34" s="7" t="s">
        <v>102</v>
      </c>
      <c r="C34" s="7" t="s">
        <v>114</v>
      </c>
      <c r="D34" s="7" t="s">
        <v>200</v>
      </c>
      <c r="E34" s="7" t="s">
        <v>201</v>
      </c>
      <c r="F34" s="7" t="s">
        <v>117</v>
      </c>
      <c r="G34" s="7" t="s">
        <v>202</v>
      </c>
      <c r="H34" s="7" t="s">
        <v>203</v>
      </c>
    </row>
    <row r="35" customFormat="false" ht="22.35" hidden="false" customHeight="false" outlineLevel="0" collapsed="false">
      <c r="A35" s="7" t="s">
        <v>204</v>
      </c>
      <c r="B35" s="7" t="s">
        <v>102</v>
      </c>
      <c r="C35" s="7" t="s">
        <v>114</v>
      </c>
      <c r="D35" s="7" t="s">
        <v>205</v>
      </c>
      <c r="E35" s="7" t="s">
        <v>201</v>
      </c>
      <c r="F35" s="7" t="s">
        <v>117</v>
      </c>
      <c r="G35" s="7" t="s">
        <v>160</v>
      </c>
      <c r="H35" s="7" t="s">
        <v>203</v>
      </c>
    </row>
    <row r="36" customFormat="false" ht="22.35" hidden="false" customHeight="false" outlineLevel="0" collapsed="false">
      <c r="A36" s="7" t="s">
        <v>206</v>
      </c>
      <c r="B36" s="7" t="s">
        <v>207</v>
      </c>
      <c r="C36" s="7" t="s">
        <v>176</v>
      </c>
      <c r="D36" s="7" t="s">
        <v>208</v>
      </c>
      <c r="E36" s="7" t="s">
        <v>209</v>
      </c>
      <c r="F36" s="7" t="s">
        <v>117</v>
      </c>
      <c r="G36" s="7" t="s">
        <v>142</v>
      </c>
      <c r="H36" s="7" t="s">
        <v>210</v>
      </c>
    </row>
    <row r="37" customFormat="false" ht="22.35" hidden="false" customHeight="false" outlineLevel="0" collapsed="false">
      <c r="A37" s="7" t="s">
        <v>211</v>
      </c>
      <c r="B37" s="7" t="s">
        <v>212</v>
      </c>
      <c r="C37" s="7" t="s">
        <v>176</v>
      </c>
      <c r="D37" s="7" t="s">
        <v>213</v>
      </c>
      <c r="E37" s="7" t="s">
        <v>209</v>
      </c>
      <c r="F37" s="7" t="s">
        <v>117</v>
      </c>
      <c r="G37" s="7" t="s">
        <v>142</v>
      </c>
      <c r="H37" s="7" t="s">
        <v>214</v>
      </c>
    </row>
    <row r="38" customFormat="false" ht="15" hidden="false" customHeight="false" outlineLevel="0" collapsed="false">
      <c r="A38" s="7" t="s">
        <v>215</v>
      </c>
      <c r="B38" s="7" t="s">
        <v>102</v>
      </c>
      <c r="C38" s="7" t="s">
        <v>176</v>
      </c>
      <c r="D38" s="7" t="s">
        <v>216</v>
      </c>
      <c r="E38" s="7" t="s">
        <v>217</v>
      </c>
      <c r="F38" s="7" t="s">
        <v>62</v>
      </c>
      <c r="G38" s="7" t="s">
        <v>142</v>
      </c>
      <c r="H38" s="7" t="s">
        <v>218</v>
      </c>
    </row>
    <row r="39" customFormat="false" ht="15" hidden="false" customHeight="false" outlineLevel="0" collapsed="false">
      <c r="A39" s="7" t="s">
        <v>219</v>
      </c>
      <c r="B39" s="7" t="s">
        <v>220</v>
      </c>
      <c r="C39" s="7" t="s">
        <v>176</v>
      </c>
      <c r="D39" s="7" t="s">
        <v>221</v>
      </c>
      <c r="E39" s="7" t="s">
        <v>222</v>
      </c>
      <c r="F39" s="7" t="s">
        <v>94</v>
      </c>
      <c r="G39" s="7" t="s">
        <v>142</v>
      </c>
      <c r="H39" s="7" t="s">
        <v>223</v>
      </c>
    </row>
    <row r="40" customFormat="false" ht="15" hidden="false" customHeight="false" outlineLevel="0" collapsed="false">
      <c r="A40" s="7" t="s">
        <v>224</v>
      </c>
      <c r="B40" s="7" t="s">
        <v>225</v>
      </c>
      <c r="C40" s="7" t="s">
        <v>176</v>
      </c>
      <c r="D40" s="7" t="s">
        <v>226</v>
      </c>
      <c r="E40" s="7" t="s">
        <v>222</v>
      </c>
      <c r="F40" s="7" t="s">
        <v>94</v>
      </c>
      <c r="G40" s="7" t="s">
        <v>142</v>
      </c>
      <c r="H40" s="7" t="s">
        <v>223</v>
      </c>
    </row>
    <row r="41" customFormat="false" ht="22.35" hidden="false" customHeight="false" outlineLevel="0" collapsed="false">
      <c r="A41" s="7" t="s">
        <v>227</v>
      </c>
      <c r="B41" s="7" t="s">
        <v>228</v>
      </c>
      <c r="C41" s="7" t="s">
        <v>176</v>
      </c>
      <c r="D41" s="7" t="s">
        <v>229</v>
      </c>
      <c r="E41" s="7" t="s">
        <v>230</v>
      </c>
      <c r="F41" s="7" t="s">
        <v>117</v>
      </c>
      <c r="G41" s="7" t="s">
        <v>107</v>
      </c>
      <c r="H41" s="7" t="s">
        <v>231</v>
      </c>
    </row>
    <row r="42" customFormat="false" ht="22.35" hidden="false" customHeight="false" outlineLevel="0" collapsed="false">
      <c r="A42" s="7" t="s">
        <v>232</v>
      </c>
      <c r="B42" s="7" t="s">
        <v>102</v>
      </c>
      <c r="C42" s="7" t="s">
        <v>176</v>
      </c>
      <c r="D42" s="7" t="s">
        <v>233</v>
      </c>
      <c r="E42" s="7" t="s">
        <v>234</v>
      </c>
      <c r="F42" s="7" t="s">
        <v>117</v>
      </c>
      <c r="G42" s="7" t="s">
        <v>142</v>
      </c>
      <c r="H42" s="7" t="s">
        <v>235</v>
      </c>
    </row>
    <row r="43" customFormat="false" ht="22.35" hidden="false" customHeight="false" outlineLevel="0" collapsed="false">
      <c r="A43" s="7" t="s">
        <v>236</v>
      </c>
      <c r="B43" s="7" t="s">
        <v>102</v>
      </c>
      <c r="C43" s="7" t="s">
        <v>176</v>
      </c>
      <c r="D43" s="7" t="s">
        <v>237</v>
      </c>
      <c r="E43" s="7" t="s">
        <v>238</v>
      </c>
      <c r="F43" s="7" t="s">
        <v>62</v>
      </c>
      <c r="G43" s="7" t="s">
        <v>142</v>
      </c>
      <c r="H43" s="7" t="s">
        <v>239</v>
      </c>
    </row>
    <row r="44" customFormat="false" ht="22.35" hidden="false" customHeight="false" outlineLevel="0" collapsed="false">
      <c r="A44" s="7" t="s">
        <v>240</v>
      </c>
      <c r="B44" s="7" t="s">
        <v>102</v>
      </c>
      <c r="C44" s="7" t="s">
        <v>176</v>
      </c>
      <c r="D44" s="7" t="s">
        <v>241</v>
      </c>
      <c r="E44" s="7" t="s">
        <v>238</v>
      </c>
      <c r="F44" s="7" t="s">
        <v>62</v>
      </c>
      <c r="G44" s="7" t="s">
        <v>142</v>
      </c>
      <c r="H44" s="7" t="s">
        <v>239</v>
      </c>
    </row>
    <row r="45" customFormat="false" ht="22.35" hidden="false" customHeight="false" outlineLevel="0" collapsed="false">
      <c r="A45" s="7" t="s">
        <v>242</v>
      </c>
      <c r="B45" s="7" t="s">
        <v>243</v>
      </c>
      <c r="C45" s="7" t="s">
        <v>244</v>
      </c>
      <c r="D45" s="7" t="s">
        <v>245</v>
      </c>
      <c r="E45" s="7" t="s">
        <v>246</v>
      </c>
      <c r="F45" s="7" t="s">
        <v>117</v>
      </c>
      <c r="G45" s="7" t="s">
        <v>247</v>
      </c>
      <c r="H45" s="7" t="s">
        <v>248</v>
      </c>
    </row>
    <row r="46" customFormat="false" ht="15" hidden="false" customHeight="false" outlineLevel="0" collapsed="false">
      <c r="A46" s="7" t="s">
        <v>249</v>
      </c>
      <c r="B46" s="7" t="s">
        <v>102</v>
      </c>
      <c r="C46" s="7" t="s">
        <v>244</v>
      </c>
      <c r="D46" s="7" t="s">
        <v>250</v>
      </c>
      <c r="E46" s="7" t="s">
        <v>251</v>
      </c>
      <c r="F46" s="7" t="s">
        <v>117</v>
      </c>
      <c r="G46" s="7" t="s">
        <v>252</v>
      </c>
      <c r="H46" s="7" t="s">
        <v>248</v>
      </c>
    </row>
    <row r="47" customFormat="false" ht="22.35" hidden="false" customHeight="false" outlineLevel="0" collapsed="false">
      <c r="A47" s="7" t="s">
        <v>253</v>
      </c>
      <c r="B47" s="7" t="s">
        <v>102</v>
      </c>
      <c r="C47" s="7" t="s">
        <v>176</v>
      </c>
      <c r="D47" s="7" t="s">
        <v>254</v>
      </c>
      <c r="E47" s="7" t="s">
        <v>178</v>
      </c>
      <c r="F47" s="7" t="s">
        <v>117</v>
      </c>
      <c r="G47" s="7" t="s">
        <v>255</v>
      </c>
      <c r="H47" s="7" t="s">
        <v>256</v>
      </c>
    </row>
    <row r="48" customFormat="false" ht="22.35" hidden="false" customHeight="false" outlineLevel="0" collapsed="false">
      <c r="A48" s="7" t="s">
        <v>257</v>
      </c>
      <c r="B48" s="7" t="s">
        <v>102</v>
      </c>
      <c r="C48" s="7" t="s">
        <v>176</v>
      </c>
      <c r="D48" s="7" t="s">
        <v>258</v>
      </c>
      <c r="E48" s="7" t="s">
        <v>259</v>
      </c>
      <c r="F48" s="7" t="s">
        <v>117</v>
      </c>
      <c r="G48" s="7" t="s">
        <v>260</v>
      </c>
      <c r="H48" s="7" t="s">
        <v>261</v>
      </c>
    </row>
    <row r="49" customFormat="false" ht="22.35" hidden="false" customHeight="false" outlineLevel="0" collapsed="false">
      <c r="A49" s="7" t="s">
        <v>262</v>
      </c>
      <c r="B49" s="7" t="s">
        <v>102</v>
      </c>
      <c r="C49" s="7" t="s">
        <v>176</v>
      </c>
      <c r="D49" s="7" t="s">
        <v>263</v>
      </c>
      <c r="E49" s="7" t="s">
        <v>264</v>
      </c>
      <c r="F49" s="7" t="s">
        <v>117</v>
      </c>
      <c r="G49" s="7" t="s">
        <v>265</v>
      </c>
      <c r="H49" s="7" t="s">
        <v>266</v>
      </c>
    </row>
    <row r="50" customFormat="false" ht="22.35" hidden="false" customHeight="false" outlineLevel="0" collapsed="false">
      <c r="A50" s="7" t="s">
        <v>267</v>
      </c>
      <c r="B50" s="7" t="s">
        <v>102</v>
      </c>
      <c r="C50" s="7" t="s">
        <v>244</v>
      </c>
      <c r="D50" s="7" t="s">
        <v>268</v>
      </c>
      <c r="E50" s="7" t="s">
        <v>251</v>
      </c>
      <c r="F50" s="7" t="s">
        <v>117</v>
      </c>
      <c r="G50" s="7" t="s">
        <v>252</v>
      </c>
      <c r="H50" s="7" t="s">
        <v>269</v>
      </c>
    </row>
    <row r="51" customFormat="false" ht="22.35" hidden="false" customHeight="false" outlineLevel="0" collapsed="false">
      <c r="A51" s="7" t="s">
        <v>270</v>
      </c>
      <c r="B51" s="7" t="s">
        <v>102</v>
      </c>
      <c r="C51" s="7" t="s">
        <v>271</v>
      </c>
      <c r="D51" s="7" t="s">
        <v>272</v>
      </c>
      <c r="E51" s="7" t="s">
        <v>273</v>
      </c>
      <c r="F51" s="7" t="s">
        <v>94</v>
      </c>
      <c r="G51" s="7" t="s">
        <v>274</v>
      </c>
      <c r="H51" s="7" t="s">
        <v>275</v>
      </c>
    </row>
    <row r="52" customFormat="false" ht="22.35" hidden="false" customHeight="false" outlineLevel="0" collapsed="false">
      <c r="A52" s="7" t="s">
        <v>276</v>
      </c>
      <c r="B52" s="7" t="s">
        <v>277</v>
      </c>
      <c r="C52" s="7" t="s">
        <v>278</v>
      </c>
      <c r="D52" s="7" t="s">
        <v>279</v>
      </c>
      <c r="E52" s="7" t="s">
        <v>280</v>
      </c>
      <c r="F52" s="7" t="s">
        <v>94</v>
      </c>
      <c r="G52" s="7" t="s">
        <v>274</v>
      </c>
      <c r="H52" s="7" t="s">
        <v>281</v>
      </c>
    </row>
    <row r="53" customFormat="false" ht="43.25" hidden="false" customHeight="false" outlineLevel="0" collapsed="false">
      <c r="A53" s="7" t="s">
        <v>282</v>
      </c>
      <c r="B53" s="7" t="s">
        <v>283</v>
      </c>
      <c r="C53" s="7" t="s">
        <v>284</v>
      </c>
      <c r="D53" s="7" t="s">
        <v>285</v>
      </c>
      <c r="E53" s="7" t="s">
        <v>286</v>
      </c>
      <c r="F53" s="7" t="s">
        <v>94</v>
      </c>
      <c r="G53" s="7" t="s">
        <v>287</v>
      </c>
      <c r="H53" s="7" t="s">
        <v>288</v>
      </c>
    </row>
    <row r="54" customFormat="false" ht="32.8" hidden="false" customHeight="false" outlineLevel="0" collapsed="false">
      <c r="A54" s="7" t="s">
        <v>289</v>
      </c>
      <c r="B54" s="7" t="s">
        <v>290</v>
      </c>
      <c r="C54" s="7" t="s">
        <v>284</v>
      </c>
      <c r="D54" s="7" t="s">
        <v>291</v>
      </c>
      <c r="E54" s="7" t="s">
        <v>286</v>
      </c>
      <c r="F54" s="7" t="s">
        <v>94</v>
      </c>
      <c r="G54" s="7" t="s">
        <v>160</v>
      </c>
      <c r="H54" s="7" t="s">
        <v>292</v>
      </c>
    </row>
    <row r="55" customFormat="false" ht="32.8" hidden="false" customHeight="false" outlineLevel="0" collapsed="false">
      <c r="A55" s="7" t="s">
        <v>293</v>
      </c>
      <c r="B55" s="7" t="s">
        <v>294</v>
      </c>
      <c r="C55" s="7" t="s">
        <v>284</v>
      </c>
      <c r="D55" s="7" t="s">
        <v>295</v>
      </c>
      <c r="E55" s="7" t="s">
        <v>296</v>
      </c>
      <c r="F55" s="7" t="s">
        <v>94</v>
      </c>
      <c r="G55" s="7" t="s">
        <v>160</v>
      </c>
      <c r="H55" s="7" t="s">
        <v>297</v>
      </c>
    </row>
    <row r="56" customFormat="false" ht="53.7" hidden="false" customHeight="false" outlineLevel="0" collapsed="false">
      <c r="A56" s="7" t="s">
        <v>298</v>
      </c>
      <c r="B56" s="7" t="s">
        <v>102</v>
      </c>
      <c r="C56" s="7" t="s">
        <v>299</v>
      </c>
      <c r="D56" s="7" t="s">
        <v>300</v>
      </c>
      <c r="E56" s="7" t="s">
        <v>301</v>
      </c>
      <c r="F56" s="7" t="s">
        <v>94</v>
      </c>
      <c r="G56" s="7" t="s">
        <v>302</v>
      </c>
      <c r="H56" s="7" t="s">
        <v>303</v>
      </c>
    </row>
    <row r="57" customFormat="false" ht="32.8" hidden="false" customHeight="false" outlineLevel="0" collapsed="false">
      <c r="A57" s="7" t="s">
        <v>304</v>
      </c>
      <c r="B57" s="7" t="s">
        <v>305</v>
      </c>
      <c r="C57" s="7" t="s">
        <v>306</v>
      </c>
      <c r="D57" s="7" t="s">
        <v>307</v>
      </c>
      <c r="E57" s="7" t="s">
        <v>308</v>
      </c>
      <c r="F57" s="7" t="s">
        <v>117</v>
      </c>
      <c r="G57" s="7" t="s">
        <v>309</v>
      </c>
      <c r="H57" s="7" t="s">
        <v>310</v>
      </c>
    </row>
    <row r="58" customFormat="false" ht="32.8" hidden="false" customHeight="false" outlineLevel="0" collapsed="false">
      <c r="A58" s="7" t="s">
        <v>311</v>
      </c>
      <c r="B58" s="7" t="s">
        <v>102</v>
      </c>
      <c r="C58" s="7" t="s">
        <v>312</v>
      </c>
      <c r="D58" s="7" t="s">
        <v>313</v>
      </c>
      <c r="E58" s="7" t="s">
        <v>314</v>
      </c>
      <c r="F58" s="7" t="s">
        <v>315</v>
      </c>
      <c r="G58" s="7" t="s">
        <v>316</v>
      </c>
      <c r="H58" s="7" t="s">
        <v>317</v>
      </c>
    </row>
    <row r="61" customFormat="false" ht="15" hidden="false" customHeight="false" outlineLevel="0" collapsed="false">
      <c r="A61" s="8" t="s">
        <v>318</v>
      </c>
    </row>
    <row r="62" customFormat="false" ht="27.75" hidden="false" customHeight="true" outlineLevel="0" collapsed="false">
      <c r="A62" s="9" t="s">
        <v>319</v>
      </c>
      <c r="B62" s="9"/>
      <c r="C62" s="9"/>
      <c r="D62" s="9"/>
      <c r="E62" s="9"/>
      <c r="F62" s="9"/>
      <c r="G62" s="9"/>
      <c r="H62" s="9"/>
    </row>
    <row r="63" customFormat="false" ht="27.75" hidden="false" customHeight="true" outlineLevel="0" collapsed="false">
      <c r="A63" s="9" t="s">
        <v>320</v>
      </c>
      <c r="B63" s="9"/>
      <c r="C63" s="9"/>
      <c r="D63" s="9"/>
      <c r="E63" s="9"/>
      <c r="F63" s="9"/>
      <c r="G63" s="9"/>
      <c r="H63" s="9"/>
    </row>
    <row r="64" customFormat="false" ht="27.75" hidden="false" customHeight="true" outlineLevel="0" collapsed="false">
      <c r="A64" s="9" t="s">
        <v>321</v>
      </c>
      <c r="B64" s="9"/>
      <c r="C64" s="9"/>
      <c r="D64" s="9"/>
      <c r="E64" s="9"/>
      <c r="F64" s="9"/>
      <c r="G64" s="9"/>
      <c r="H64" s="9"/>
    </row>
  </sheetData>
  <mergeCells count="5">
    <mergeCell ref="A1:H1"/>
    <mergeCell ref="A2:H2"/>
    <mergeCell ref="A62:H62"/>
    <mergeCell ref="A63:H63"/>
    <mergeCell ref="A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6" min="2" style="0" width="15"/>
  </cols>
  <sheetData>
    <row r="1" customFormat="false" ht="15" hidden="false" customHeight="false" outlineLevel="0" collapsed="false">
      <c r="A1" s="10" t="s">
        <v>322</v>
      </c>
    </row>
    <row r="2" customFormat="false" ht="15" hidden="false" customHeight="false" outlineLevel="0" collapsed="false">
      <c r="A2" s="11" t="s">
        <v>323</v>
      </c>
    </row>
    <row r="4" customFormat="false" ht="15" hidden="false" customHeight="false" outlineLevel="0" collapsed="false">
      <c r="A4" s="10" t="s">
        <v>324</v>
      </c>
    </row>
    <row r="5" customFormat="false" ht="85.05" hidden="false" customHeight="false" outlineLevel="0" collapsed="false">
      <c r="A5" s="12" t="s">
        <v>325</v>
      </c>
      <c r="B5" s="6" t="s">
        <v>326</v>
      </c>
      <c r="C5" s="6" t="s">
        <v>327</v>
      </c>
      <c r="D5" s="6" t="s">
        <v>328</v>
      </c>
      <c r="E5" s="6" t="s">
        <v>329</v>
      </c>
      <c r="F5" s="6" t="s">
        <v>330</v>
      </c>
      <c r="G5" s="6" t="s">
        <v>331</v>
      </c>
      <c r="H5" s="6" t="s">
        <v>332</v>
      </c>
      <c r="I5" s="6" t="s">
        <v>333</v>
      </c>
      <c r="J5" s="6" t="s">
        <v>334</v>
      </c>
      <c r="K5" s="6" t="s">
        <v>335</v>
      </c>
      <c r="L5" s="6" t="s">
        <v>336</v>
      </c>
      <c r="M5" s="6" t="s">
        <v>337</v>
      </c>
      <c r="N5" s="6" t="s">
        <v>338</v>
      </c>
      <c r="O5" s="6" t="s">
        <v>339</v>
      </c>
      <c r="P5" s="6" t="s">
        <v>340</v>
      </c>
    </row>
    <row r="6" customFormat="false" ht="15" hidden="false" customHeight="false" outlineLevel="0" collapsed="false">
      <c r="A6" s="13" t="s">
        <v>341</v>
      </c>
      <c r="B6" s="14" t="n">
        <v>984889.704998228</v>
      </c>
      <c r="C6" s="14" t="n">
        <v>418857.403313624</v>
      </c>
      <c r="D6" s="14" t="n">
        <v>493784.949715998</v>
      </c>
      <c r="E6" s="14" t="n">
        <v>1168979.83949844</v>
      </c>
      <c r="F6" s="14" t="n">
        <v>134154.961420831</v>
      </c>
      <c r="G6" s="14" t="n">
        <v>145751.062156167</v>
      </c>
      <c r="H6" s="14" t="n">
        <v>598443.000857706</v>
      </c>
      <c r="I6" s="14" t="n">
        <v>787449.493043808</v>
      </c>
      <c r="J6" s="14" t="n">
        <v>900297.321026642</v>
      </c>
      <c r="K6" s="14" t="n">
        <v>683586.744992007</v>
      </c>
      <c r="L6" s="14" t="n">
        <v>533984.37686081</v>
      </c>
      <c r="M6" s="14" t="n">
        <v>-279666.619478123</v>
      </c>
      <c r="N6" s="14" t="n">
        <v>6570512.23840613</v>
      </c>
      <c r="O6" s="14" t="n">
        <v>695715.140102487</v>
      </c>
      <c r="P6" s="14" t="n">
        <v>7266227.37850862</v>
      </c>
    </row>
    <row r="7" customFormat="false" ht="15" hidden="false" customHeight="false" outlineLevel="0" collapsed="false">
      <c r="A7" s="13" t="s">
        <v>342</v>
      </c>
      <c r="B7" s="14" t="n">
        <v>1347840.65590917</v>
      </c>
      <c r="C7" s="14" t="n">
        <v>463580.778109332</v>
      </c>
      <c r="D7" s="14" t="n">
        <v>527027.971122214</v>
      </c>
      <c r="E7" s="14" t="n">
        <v>1413594.50984449</v>
      </c>
      <c r="F7" s="14" t="n">
        <v>170092.071514829</v>
      </c>
      <c r="G7" s="14" t="n">
        <v>233698.997145155</v>
      </c>
      <c r="H7" s="14" t="n">
        <v>758646.352264501</v>
      </c>
      <c r="I7" s="14" t="n">
        <v>887506.212739464</v>
      </c>
      <c r="J7" s="14" t="n">
        <v>1038456.471018</v>
      </c>
      <c r="K7" s="14" t="n">
        <v>701341.462692415</v>
      </c>
      <c r="L7" s="14" t="n">
        <v>543389.076953005</v>
      </c>
      <c r="M7" s="14" t="n">
        <v>-291443.61864681</v>
      </c>
      <c r="N7" s="14" t="n">
        <v>7793730.94066577</v>
      </c>
      <c r="O7" s="14" t="n">
        <v>643909.433167168</v>
      </c>
      <c r="P7" s="14" t="n">
        <v>8437640.37383294</v>
      </c>
    </row>
    <row r="8" customFormat="false" ht="15" hidden="false" customHeight="false" outlineLevel="0" collapsed="false">
      <c r="A8" s="13" t="s">
        <v>343</v>
      </c>
      <c r="B8" s="14" t="n">
        <v>906033.127611594</v>
      </c>
      <c r="C8" s="14" t="n">
        <v>542994.301965909</v>
      </c>
      <c r="D8" s="14" t="n">
        <v>506991.623241175</v>
      </c>
      <c r="E8" s="14" t="n">
        <v>1472970.74575807</v>
      </c>
      <c r="F8" s="14" t="n">
        <v>153113.866291624</v>
      </c>
      <c r="G8" s="14" t="n">
        <v>320807.705969689</v>
      </c>
      <c r="H8" s="14" t="n">
        <v>685880.752111013</v>
      </c>
      <c r="I8" s="14" t="n">
        <v>998831.505727823</v>
      </c>
      <c r="J8" s="14" t="n">
        <v>916280.316209222</v>
      </c>
      <c r="K8" s="14" t="n">
        <v>761771.585367805</v>
      </c>
      <c r="L8" s="14" t="n">
        <v>549946.690083863</v>
      </c>
      <c r="M8" s="14" t="n">
        <v>-335259.198586933</v>
      </c>
      <c r="N8" s="14" t="n">
        <v>7480363.02175085</v>
      </c>
      <c r="O8" s="14" t="n">
        <v>771631.634808197</v>
      </c>
      <c r="P8" s="14" t="n">
        <v>8251994.65655905</v>
      </c>
    </row>
    <row r="9" customFormat="false" ht="15" hidden="false" customHeight="false" outlineLevel="0" collapsed="false">
      <c r="A9" s="13" t="s">
        <v>344</v>
      </c>
      <c r="B9" s="14" t="n">
        <v>882595.331591518</v>
      </c>
      <c r="C9" s="14" t="n">
        <v>534524.947113102</v>
      </c>
      <c r="D9" s="14" t="n">
        <v>486810.283534111</v>
      </c>
      <c r="E9" s="14" t="n">
        <v>1438445.45623856</v>
      </c>
      <c r="F9" s="14" t="n">
        <v>202769.609818563</v>
      </c>
      <c r="G9" s="14" t="n">
        <v>432144.18390106</v>
      </c>
      <c r="H9" s="14" t="n">
        <v>628908.250736376</v>
      </c>
      <c r="I9" s="14" t="n">
        <v>962782.915533094</v>
      </c>
      <c r="J9" s="14" t="n">
        <v>901942.179032522</v>
      </c>
      <c r="K9" s="14" t="n">
        <v>785772.765833386</v>
      </c>
      <c r="L9" s="14" t="n">
        <v>551026.97646463</v>
      </c>
      <c r="M9" s="14" t="n">
        <v>-266912.714306894</v>
      </c>
      <c r="N9" s="14" t="n">
        <v>7540810.18549003</v>
      </c>
      <c r="O9" s="14" t="n">
        <v>1089007.21531216</v>
      </c>
      <c r="P9" s="14" t="n">
        <v>8629817.40080219</v>
      </c>
    </row>
    <row r="10" customFormat="false" ht="15" hidden="false" customHeight="false" outlineLevel="0" collapsed="false">
      <c r="A10" s="13" t="s">
        <v>345</v>
      </c>
      <c r="B10" s="14" t="n">
        <v>1025071.68793712</v>
      </c>
      <c r="C10" s="14" t="n">
        <v>480469.368869015</v>
      </c>
      <c r="D10" s="14" t="n">
        <v>499705.339802233</v>
      </c>
      <c r="E10" s="14" t="n">
        <v>1228504.49890019</v>
      </c>
      <c r="F10" s="14" t="n">
        <v>145412.225152258</v>
      </c>
      <c r="G10" s="14" t="n">
        <v>157694.607450968</v>
      </c>
      <c r="H10" s="14" t="n">
        <v>624677.875971167</v>
      </c>
      <c r="I10" s="14" t="n">
        <v>847128.86532789</v>
      </c>
      <c r="J10" s="14" t="n">
        <v>930878.600320413</v>
      </c>
      <c r="K10" s="14" t="n">
        <v>708479.840888929</v>
      </c>
      <c r="L10" s="14" t="n">
        <v>548827.945164413</v>
      </c>
      <c r="M10" s="14" t="n">
        <v>-292619.203340609</v>
      </c>
      <c r="N10" s="14" t="n">
        <v>6904231.65244399</v>
      </c>
      <c r="O10" s="14" t="n">
        <v>811042.974482237</v>
      </c>
      <c r="P10" s="14" t="n">
        <v>7715274.62692623</v>
      </c>
    </row>
    <row r="11" customFormat="false" ht="15" hidden="false" customHeight="false" outlineLevel="0" collapsed="false">
      <c r="A11" s="13" t="s">
        <v>346</v>
      </c>
      <c r="B11" s="14" t="n">
        <v>1380609.29099628</v>
      </c>
      <c r="C11" s="14" t="n">
        <v>477373.906471844</v>
      </c>
      <c r="D11" s="14" t="n">
        <v>521879.611285466</v>
      </c>
      <c r="E11" s="14" t="n">
        <v>1461771.93237933</v>
      </c>
      <c r="F11" s="14" t="n">
        <v>179718.26641828</v>
      </c>
      <c r="G11" s="14" t="n">
        <v>248268.956625287</v>
      </c>
      <c r="H11" s="14" t="n">
        <v>777723.843917671</v>
      </c>
      <c r="I11" s="14" t="n">
        <v>935320.385868047</v>
      </c>
      <c r="J11" s="14" t="n">
        <v>1081239.22046661</v>
      </c>
      <c r="K11" s="14" t="n">
        <v>761375.323397035</v>
      </c>
      <c r="L11" s="14" t="n">
        <v>559611.78727604</v>
      </c>
      <c r="M11" s="14" t="n">
        <v>-309379.224689455</v>
      </c>
      <c r="N11" s="14" t="n">
        <v>8075513.30041243</v>
      </c>
      <c r="O11" s="14" t="n">
        <v>721467.297377776</v>
      </c>
      <c r="P11" s="14" t="n">
        <v>8796980.5977902</v>
      </c>
    </row>
    <row r="12" customFormat="false" ht="15" hidden="false" customHeight="false" outlineLevel="0" collapsed="false">
      <c r="A12" s="13" t="s">
        <v>347</v>
      </c>
      <c r="B12" s="14" t="n">
        <v>921888.252083889</v>
      </c>
      <c r="C12" s="14" t="n">
        <v>574664.114316291</v>
      </c>
      <c r="D12" s="14" t="n">
        <v>569413.501409736</v>
      </c>
      <c r="E12" s="14" t="n">
        <v>1515705.16311498</v>
      </c>
      <c r="F12" s="14" t="n">
        <v>165631.38269148</v>
      </c>
      <c r="G12" s="14" t="n">
        <v>344383.140192677</v>
      </c>
      <c r="H12" s="14" t="n">
        <v>708357.691203064</v>
      </c>
      <c r="I12" s="14" t="n">
        <v>1052168.29851857</v>
      </c>
      <c r="J12" s="14" t="n">
        <v>946057.613647526</v>
      </c>
      <c r="K12" s="14" t="n">
        <v>792206.459519379</v>
      </c>
      <c r="L12" s="14" t="n">
        <v>565214.402387696</v>
      </c>
      <c r="M12" s="14" t="n">
        <v>-358091.652754685</v>
      </c>
      <c r="N12" s="14" t="n">
        <v>7797598.3663306</v>
      </c>
      <c r="O12" s="14" t="n">
        <v>885448.957167015</v>
      </c>
      <c r="P12" s="14" t="n">
        <v>8683047.32349762</v>
      </c>
    </row>
    <row r="13" customFormat="false" ht="15" hidden="false" customHeight="false" outlineLevel="0" collapsed="false">
      <c r="A13" s="13" t="s">
        <v>348</v>
      </c>
      <c r="B13" s="14" t="n">
        <v>919733.07007311</v>
      </c>
      <c r="C13" s="14" t="n">
        <v>567130.352603613</v>
      </c>
      <c r="D13" s="14" t="n">
        <v>491369.965944292</v>
      </c>
      <c r="E13" s="14" t="n">
        <v>1489914.01893908</v>
      </c>
      <c r="F13" s="14" t="n">
        <v>217712.55740027</v>
      </c>
      <c r="G13" s="14" t="n">
        <v>472379.696481301</v>
      </c>
      <c r="H13" s="14" t="n">
        <v>657203.677778927</v>
      </c>
      <c r="I13" s="14" t="n">
        <v>1023344.70724293</v>
      </c>
      <c r="J13" s="14" t="n">
        <v>931335.242587152</v>
      </c>
      <c r="K13" s="14" t="n">
        <v>850417.299607987</v>
      </c>
      <c r="L13" s="14" t="n">
        <v>565256.287917182</v>
      </c>
      <c r="M13" s="14" t="n">
        <v>-281694.464466474</v>
      </c>
      <c r="N13" s="14" t="n">
        <v>7904102.41210937</v>
      </c>
      <c r="O13" s="14" t="n">
        <v>1182063.70591433</v>
      </c>
      <c r="P13" s="14" t="n">
        <v>9086166.11802369</v>
      </c>
    </row>
    <row r="14" customFormat="false" ht="15" hidden="false" customHeight="false" outlineLevel="0" collapsed="false">
      <c r="A14" s="13" t="s">
        <v>349</v>
      </c>
      <c r="B14" s="14" t="n">
        <v>1064888.03754566</v>
      </c>
      <c r="C14" s="14" t="n">
        <v>518681.919532798</v>
      </c>
      <c r="D14" s="14" t="n">
        <v>458389.938372174</v>
      </c>
      <c r="E14" s="14" t="n">
        <v>1292680.05731646</v>
      </c>
      <c r="F14" s="14" t="n">
        <v>155394.538356493</v>
      </c>
      <c r="G14" s="14" t="n">
        <v>176014.56101615</v>
      </c>
      <c r="H14" s="14" t="n">
        <v>647269.519340226</v>
      </c>
      <c r="I14" s="14" t="n">
        <v>887404.895472599</v>
      </c>
      <c r="J14" s="14" t="n">
        <v>1013246.64430462</v>
      </c>
      <c r="K14" s="14" t="n">
        <v>752544.79257574</v>
      </c>
      <c r="L14" s="14" t="n">
        <v>567393.371824429</v>
      </c>
      <c r="M14" s="14" t="n">
        <v>-352839.97196744</v>
      </c>
      <c r="N14" s="14" t="n">
        <v>7181068.30368992</v>
      </c>
      <c r="O14" s="14" t="n">
        <v>920728.395294743</v>
      </c>
      <c r="P14" s="14" t="n">
        <v>8101796.69898466</v>
      </c>
    </row>
    <row r="15" customFormat="false" ht="15" hidden="false" customHeight="false" outlineLevel="0" collapsed="false">
      <c r="A15" s="13" t="s">
        <v>350</v>
      </c>
      <c r="B15" s="14" t="n">
        <v>1432379.36354058</v>
      </c>
      <c r="C15" s="14" t="n">
        <v>546711.171857388</v>
      </c>
      <c r="D15" s="14" t="n">
        <v>479386.447461429</v>
      </c>
      <c r="E15" s="14" t="n">
        <v>1545803.33331535</v>
      </c>
      <c r="F15" s="14" t="n">
        <v>193070.055043989</v>
      </c>
      <c r="G15" s="14" t="n">
        <v>271662.397193405</v>
      </c>
      <c r="H15" s="14" t="n">
        <v>803814.835561462</v>
      </c>
      <c r="I15" s="14" t="n">
        <v>947713.762727818</v>
      </c>
      <c r="J15" s="14" t="n">
        <v>1182841.55526991</v>
      </c>
      <c r="K15" s="14" t="n">
        <v>795380.5307636</v>
      </c>
      <c r="L15" s="14" t="n">
        <v>578844.762767541</v>
      </c>
      <c r="M15" s="14" t="n">
        <v>-387499.915257641</v>
      </c>
      <c r="N15" s="14" t="n">
        <v>8390108.30024483</v>
      </c>
      <c r="O15" s="14" t="n">
        <v>792904.911369331</v>
      </c>
      <c r="P15" s="14" t="n">
        <v>9183013.21161416</v>
      </c>
    </row>
    <row r="16" customFormat="false" ht="15" hidden="false" customHeight="false" outlineLevel="0" collapsed="false">
      <c r="A16" s="13" t="s">
        <v>351</v>
      </c>
      <c r="B16" s="14" t="n">
        <v>961896.084285578</v>
      </c>
      <c r="C16" s="14" t="n">
        <v>627514.600794211</v>
      </c>
      <c r="D16" s="14" t="n">
        <v>542347.024790397</v>
      </c>
      <c r="E16" s="14" t="n">
        <v>1582099.27055027</v>
      </c>
      <c r="F16" s="14" t="n">
        <v>173968.944759357</v>
      </c>
      <c r="G16" s="14" t="n">
        <v>374648.003672133</v>
      </c>
      <c r="H16" s="14" t="n">
        <v>737968.045281824</v>
      </c>
      <c r="I16" s="14" t="n">
        <v>1063842.33698033</v>
      </c>
      <c r="J16" s="14" t="n">
        <v>1045793.55804777</v>
      </c>
      <c r="K16" s="14" t="n">
        <v>849270.596959257</v>
      </c>
      <c r="L16" s="14" t="n">
        <v>586461.333397582</v>
      </c>
      <c r="M16" s="14" t="n">
        <v>-446359.43415626</v>
      </c>
      <c r="N16" s="14" t="n">
        <v>8099450.36536245</v>
      </c>
      <c r="O16" s="14" t="n">
        <v>982394.605576171</v>
      </c>
      <c r="P16" s="14" t="n">
        <v>9081844.97093862</v>
      </c>
    </row>
    <row r="17" customFormat="false" ht="15" hidden="false" customHeight="false" outlineLevel="0" collapsed="false">
      <c r="A17" s="13" t="s">
        <v>352</v>
      </c>
      <c r="B17" s="14" t="n">
        <v>964378.007714409</v>
      </c>
      <c r="C17" s="14" t="n">
        <v>715154.498447888</v>
      </c>
      <c r="D17" s="14" t="n">
        <v>498721.916556949</v>
      </c>
      <c r="E17" s="14" t="n">
        <v>1545602.6781461</v>
      </c>
      <c r="F17" s="14" t="n">
        <v>227289.350511201</v>
      </c>
      <c r="G17" s="14" t="n">
        <v>498497.216307185</v>
      </c>
      <c r="H17" s="14" t="n">
        <v>683429.226167529</v>
      </c>
      <c r="I17" s="14" t="n">
        <v>1063399.66456669</v>
      </c>
      <c r="J17" s="14" t="n">
        <v>1034173.73318273</v>
      </c>
      <c r="K17" s="14" t="n">
        <v>897620.400180918</v>
      </c>
      <c r="L17" s="14" t="n">
        <v>583277.680686674</v>
      </c>
      <c r="M17" s="14" t="n">
        <v>-353730.180956735</v>
      </c>
      <c r="N17" s="14" t="n">
        <v>8357814.19151154</v>
      </c>
      <c r="O17" s="14" t="n">
        <v>1312990.95534011</v>
      </c>
      <c r="P17" s="14" t="n">
        <v>9670805.14685164</v>
      </c>
    </row>
    <row r="18" customFormat="false" ht="15" hidden="false" customHeight="false" outlineLevel="0" collapsed="false">
      <c r="A18" s="13" t="s">
        <v>353</v>
      </c>
      <c r="B18" s="14" t="n">
        <v>1098520.71817604</v>
      </c>
      <c r="C18" s="14" t="n">
        <v>640837.556390818</v>
      </c>
      <c r="D18" s="14" t="n">
        <v>470582.325154462</v>
      </c>
      <c r="E18" s="14" t="n">
        <v>1348895.21101728</v>
      </c>
      <c r="F18" s="14" t="n">
        <v>164422.96779343</v>
      </c>
      <c r="G18" s="14" t="n">
        <v>187775.377475679</v>
      </c>
      <c r="H18" s="14" t="n">
        <v>665267.407198333</v>
      </c>
      <c r="I18" s="14" t="n">
        <v>940737.818005845</v>
      </c>
      <c r="J18" s="14" t="n">
        <v>1093787.4713985</v>
      </c>
      <c r="K18" s="14" t="n">
        <v>820538.924194353</v>
      </c>
      <c r="L18" s="14" t="n">
        <v>583780.794874787</v>
      </c>
      <c r="M18" s="14" t="n">
        <v>-402141.040735617</v>
      </c>
      <c r="N18" s="14" t="n">
        <v>7613005.53094392</v>
      </c>
      <c r="O18" s="14" t="n">
        <v>1043903.30357984</v>
      </c>
      <c r="P18" s="14" t="n">
        <v>8656908.83452376</v>
      </c>
    </row>
    <row r="19" customFormat="false" ht="15" hidden="false" customHeight="false" outlineLevel="0" collapsed="false">
      <c r="A19" s="13" t="s">
        <v>354</v>
      </c>
      <c r="B19" s="14" t="n">
        <v>1487684.30500083</v>
      </c>
      <c r="C19" s="14" t="n">
        <v>640830.459403042</v>
      </c>
      <c r="D19" s="14" t="n">
        <v>508832.200139278</v>
      </c>
      <c r="E19" s="14" t="n">
        <v>1649728.26873283</v>
      </c>
      <c r="F19" s="14" t="n">
        <v>202327.605902194</v>
      </c>
      <c r="G19" s="14" t="n">
        <v>291401.133323925</v>
      </c>
      <c r="H19" s="14" t="n">
        <v>838910.012765526</v>
      </c>
      <c r="I19" s="14" t="n">
        <v>1022501.32616227</v>
      </c>
      <c r="J19" s="14" t="n">
        <v>1275855.94115207</v>
      </c>
      <c r="K19" s="14" t="n">
        <v>870357.357164417</v>
      </c>
      <c r="L19" s="14" t="n">
        <v>596591.447682369</v>
      </c>
      <c r="M19" s="14" t="n">
        <v>-451357.723118913</v>
      </c>
      <c r="N19" s="14" t="n">
        <v>8933662.33430984</v>
      </c>
      <c r="O19" s="14" t="n">
        <v>899822.775851966</v>
      </c>
      <c r="P19" s="14" t="n">
        <v>9833485.11016181</v>
      </c>
    </row>
    <row r="20" customFormat="false" ht="15" hidden="false" customHeight="false" outlineLevel="0" collapsed="false">
      <c r="A20" s="13" t="s">
        <v>355</v>
      </c>
      <c r="B20" s="14" t="n">
        <v>1018393.6779277</v>
      </c>
      <c r="C20" s="14" t="n">
        <v>728794.001909925</v>
      </c>
      <c r="D20" s="14" t="n">
        <v>535843.189064996</v>
      </c>
      <c r="E20" s="14" t="n">
        <v>1672456.74634662</v>
      </c>
      <c r="F20" s="14" t="n">
        <v>183201.785001718</v>
      </c>
      <c r="G20" s="14" t="n">
        <v>414041.023704748</v>
      </c>
      <c r="H20" s="14" t="n">
        <v>768678.721300843</v>
      </c>
      <c r="I20" s="14" t="n">
        <v>1138965.11295473</v>
      </c>
      <c r="J20" s="14" t="n">
        <v>1098919.09193661</v>
      </c>
      <c r="K20" s="14" t="n">
        <v>944265.900907206</v>
      </c>
      <c r="L20" s="14" t="n">
        <v>605250.331046972</v>
      </c>
      <c r="M20" s="14" t="n">
        <v>-485169.944465463</v>
      </c>
      <c r="N20" s="14" t="n">
        <v>8623639.6376366</v>
      </c>
      <c r="O20" s="14" t="n">
        <v>1120522.58284109</v>
      </c>
      <c r="P20" s="14" t="n">
        <v>9744162.22047769</v>
      </c>
    </row>
    <row r="21" customFormat="false" ht="15" hidden="false" customHeight="false" outlineLevel="0" collapsed="false">
      <c r="A21" s="13" t="s">
        <v>356</v>
      </c>
      <c r="B21" s="14" t="n">
        <v>1026191.11292718</v>
      </c>
      <c r="C21" s="14" t="n">
        <v>733983.390056802</v>
      </c>
      <c r="D21" s="14" t="n">
        <v>520707.686114016</v>
      </c>
      <c r="E21" s="14" t="n">
        <v>1658162.45901253</v>
      </c>
      <c r="F21" s="14" t="n">
        <v>238134.919783669</v>
      </c>
      <c r="G21" s="14" t="n">
        <v>568187.883598094</v>
      </c>
      <c r="H21" s="14" t="n">
        <v>712416.798009628</v>
      </c>
      <c r="I21" s="14" t="n">
        <v>1125104.52851016</v>
      </c>
      <c r="J21" s="14" t="n">
        <v>1099358.34416382</v>
      </c>
      <c r="K21" s="14" t="n">
        <v>973895.22080339</v>
      </c>
      <c r="L21" s="14" t="n">
        <v>604996.060162619</v>
      </c>
      <c r="M21" s="14" t="n">
        <v>-381409.439835699</v>
      </c>
      <c r="N21" s="14" t="n">
        <v>8879728.96330621</v>
      </c>
      <c r="O21" s="14" t="n">
        <v>1372284.73450672</v>
      </c>
      <c r="P21" s="14" t="n">
        <v>10252013.6978129</v>
      </c>
    </row>
    <row r="22" customFormat="false" ht="15" hidden="false" customHeight="false" outlineLevel="0" collapsed="false">
      <c r="A22" s="13" t="s">
        <v>357</v>
      </c>
      <c r="B22" s="14" t="n">
        <v>1132787.88225226</v>
      </c>
      <c r="C22" s="14" t="n">
        <v>693919.203540986</v>
      </c>
      <c r="D22" s="14" t="n">
        <v>498958.680193672</v>
      </c>
      <c r="E22" s="14" t="n">
        <v>1413778.57333163</v>
      </c>
      <c r="F22" s="14" t="n">
        <v>173382.555497486</v>
      </c>
      <c r="G22" s="14" t="n">
        <v>199219.725516223</v>
      </c>
      <c r="H22" s="14" t="n">
        <v>692964.639497037</v>
      </c>
      <c r="I22" s="14" t="n">
        <v>984515.261981798</v>
      </c>
      <c r="J22" s="14" t="n">
        <v>1186929.78778176</v>
      </c>
      <c r="K22" s="14" t="n">
        <v>882022.521197025</v>
      </c>
      <c r="L22" s="14" t="n">
        <v>609364.29266072</v>
      </c>
      <c r="M22" s="14" t="n">
        <v>-454538.939168187</v>
      </c>
      <c r="N22" s="14" t="n">
        <v>8013304.18428241</v>
      </c>
      <c r="O22" s="14" t="n">
        <v>1155254.17708924</v>
      </c>
      <c r="P22" s="14" t="n">
        <v>9168558.36137165</v>
      </c>
    </row>
    <row r="23" customFormat="false" ht="15" hidden="false" customHeight="false" outlineLevel="0" collapsed="false">
      <c r="A23" s="13" t="s">
        <v>358</v>
      </c>
      <c r="B23" s="14" t="n">
        <v>1515674.02890196</v>
      </c>
      <c r="C23" s="14" t="n">
        <v>698180.739681558</v>
      </c>
      <c r="D23" s="14" t="n">
        <v>530192.341273694</v>
      </c>
      <c r="E23" s="14" t="n">
        <v>1699013.17931222</v>
      </c>
      <c r="F23" s="14" t="n">
        <v>212425.54304669</v>
      </c>
      <c r="G23" s="14" t="n">
        <v>315067.760724249</v>
      </c>
      <c r="H23" s="14" t="n">
        <v>868384.937098237</v>
      </c>
      <c r="I23" s="14" t="n">
        <v>1074345.33500151</v>
      </c>
      <c r="J23" s="14" t="n">
        <v>1345202.85054688</v>
      </c>
      <c r="K23" s="14" t="n">
        <v>923019.422323973</v>
      </c>
      <c r="L23" s="14" t="n">
        <v>618473.397279452</v>
      </c>
      <c r="M23" s="14" t="n">
        <v>-476783.917302594</v>
      </c>
      <c r="N23" s="14" t="n">
        <v>9323195.61788783</v>
      </c>
      <c r="O23" s="14" t="n">
        <v>981889.130885773</v>
      </c>
      <c r="P23" s="14" t="n">
        <v>10305084.7487736</v>
      </c>
    </row>
    <row r="24" customFormat="false" ht="15" hidden="false" customHeight="false" outlineLevel="0" collapsed="false">
      <c r="A24" s="13" t="s">
        <v>359</v>
      </c>
      <c r="B24" s="14" t="n">
        <v>1085116.30867332</v>
      </c>
      <c r="C24" s="14" t="n">
        <v>765379.406721618</v>
      </c>
      <c r="D24" s="14" t="n">
        <v>587785.576630672</v>
      </c>
      <c r="E24" s="14" t="n">
        <v>1739418.00013858</v>
      </c>
      <c r="F24" s="14" t="n">
        <v>196526.972064205</v>
      </c>
      <c r="G24" s="14" t="n">
        <v>455285.349940551</v>
      </c>
      <c r="H24" s="14" t="n">
        <v>798244.996128704</v>
      </c>
      <c r="I24" s="14" t="n">
        <v>1196987.4165678</v>
      </c>
      <c r="J24" s="14" t="n">
        <v>1169060.11914161</v>
      </c>
      <c r="K24" s="14" t="n">
        <v>1007019.04659166</v>
      </c>
      <c r="L24" s="14" t="n">
        <v>629411.043568921</v>
      </c>
      <c r="M24" s="14" t="n">
        <v>-517078.423488561</v>
      </c>
      <c r="N24" s="14" t="n">
        <v>9113155.81267907</v>
      </c>
      <c r="O24" s="14" t="n">
        <v>1218157.66531412</v>
      </c>
      <c r="P24" s="14" t="n">
        <v>10331313.4779932</v>
      </c>
    </row>
    <row r="25" customFormat="false" ht="15" hidden="false" customHeight="false" outlineLevel="0" collapsed="false">
      <c r="A25" s="13" t="s">
        <v>360</v>
      </c>
      <c r="B25" s="14" t="n">
        <v>1074110.48991566</v>
      </c>
      <c r="C25" s="14" t="n">
        <v>744343.27500496</v>
      </c>
      <c r="D25" s="14" t="n">
        <v>541378.221631732</v>
      </c>
      <c r="E25" s="14" t="n">
        <v>1732237.45174521</v>
      </c>
      <c r="F25" s="14" t="n">
        <v>256248.203623197</v>
      </c>
      <c r="G25" s="14" t="n">
        <v>605947.016377134</v>
      </c>
      <c r="H25" s="14" t="n">
        <v>741201.499449467</v>
      </c>
      <c r="I25" s="14" t="n">
        <v>1183583.06071759</v>
      </c>
      <c r="J25" s="14" t="n">
        <v>1139463.82204805</v>
      </c>
      <c r="K25" s="14" t="n">
        <v>1046502.28835174</v>
      </c>
      <c r="L25" s="14" t="n">
        <v>629235.27766546</v>
      </c>
      <c r="M25" s="14" t="n">
        <v>-393410.977766953</v>
      </c>
      <c r="N25" s="14" t="n">
        <v>9300839.62876325</v>
      </c>
      <c r="O25" s="14" t="n">
        <v>1482359.6093706</v>
      </c>
      <c r="P25" s="14" t="n">
        <v>10783199.2381338</v>
      </c>
    </row>
    <row r="28" customFormat="false" ht="15" hidden="false" customHeight="false" outlineLevel="0" collapsed="false">
      <c r="A28" s="10" t="s">
        <v>361</v>
      </c>
    </row>
    <row r="29" customFormat="false" ht="85.05" hidden="false" customHeight="false" outlineLevel="0" collapsed="false">
      <c r="A29" s="12" t="s">
        <v>325</v>
      </c>
      <c r="B29" s="6" t="s">
        <v>326</v>
      </c>
      <c r="C29" s="6" t="s">
        <v>327</v>
      </c>
      <c r="D29" s="6" t="s">
        <v>328</v>
      </c>
      <c r="E29" s="6" t="s">
        <v>329</v>
      </c>
      <c r="F29" s="6" t="s">
        <v>330</v>
      </c>
      <c r="G29" s="6" t="s">
        <v>331</v>
      </c>
      <c r="H29" s="6" t="s">
        <v>332</v>
      </c>
      <c r="I29" s="6" t="s">
        <v>333</v>
      </c>
      <c r="J29" s="6" t="s">
        <v>334</v>
      </c>
      <c r="K29" s="6" t="s">
        <v>335</v>
      </c>
      <c r="L29" s="6" t="s">
        <v>336</v>
      </c>
      <c r="M29" s="6" t="s">
        <v>337</v>
      </c>
      <c r="N29" s="6" t="s">
        <v>338</v>
      </c>
      <c r="O29" s="6" t="s">
        <v>339</v>
      </c>
      <c r="P29" s="6" t="s">
        <v>340</v>
      </c>
    </row>
    <row r="30" customFormat="false" ht="15" hidden="false" customHeight="false" outlineLevel="0" collapsed="false">
      <c r="A30" s="13" t="s">
        <v>341</v>
      </c>
      <c r="B30" s="14" t="n">
        <v>4465927.59809384</v>
      </c>
      <c r="C30" s="14" t="n">
        <v>1530870.72975658</v>
      </c>
      <c r="D30" s="14" t="n">
        <v>3113616.40388078</v>
      </c>
      <c r="E30" s="14" t="n">
        <v>3422485.17499635</v>
      </c>
      <c r="F30" s="14" t="n">
        <v>638898.924022178</v>
      </c>
      <c r="G30" s="14" t="n">
        <v>695347.971948529</v>
      </c>
      <c r="H30" s="14" t="n">
        <v>1976452.54958783</v>
      </c>
      <c r="I30" s="14" t="n">
        <v>2341725.30161276</v>
      </c>
      <c r="J30" s="14" t="n">
        <v>2543853.61546173</v>
      </c>
      <c r="K30" s="14" t="n">
        <v>3567967.13933931</v>
      </c>
      <c r="L30" s="14" t="n">
        <v>2121808.55977291</v>
      </c>
      <c r="M30" s="14" t="n">
        <v>-1144562.40646536</v>
      </c>
      <c r="N30" s="14" t="n">
        <v>25274391.5620074</v>
      </c>
      <c r="O30" s="14" t="n">
        <v>5520624.96272767</v>
      </c>
      <c r="P30" s="14" t="n">
        <v>30795016.5247351</v>
      </c>
    </row>
    <row r="31" customFormat="false" ht="15" hidden="false" customHeight="false" outlineLevel="0" collapsed="false">
      <c r="A31" s="13" t="s">
        <v>342</v>
      </c>
      <c r="B31" s="14" t="n">
        <v>3321269.55762571</v>
      </c>
      <c r="C31" s="14" t="n">
        <v>2173182.57966835</v>
      </c>
      <c r="D31" s="14" t="n">
        <v>2668601.70902818</v>
      </c>
      <c r="E31" s="14" t="n">
        <v>3691075.25365887</v>
      </c>
      <c r="F31" s="14" t="n">
        <v>747368.802965167</v>
      </c>
      <c r="G31" s="14" t="n">
        <v>1006430.24629423</v>
      </c>
      <c r="H31" s="14" t="n">
        <v>3300786.80580561</v>
      </c>
      <c r="I31" s="14" t="n">
        <v>3013262.46926129</v>
      </c>
      <c r="J31" s="14" t="n">
        <v>3395988.72707585</v>
      </c>
      <c r="K31" s="14" t="n">
        <v>3811276.8898826</v>
      </c>
      <c r="L31" s="14" t="n">
        <v>2174289.69784385</v>
      </c>
      <c r="M31" s="14" t="n">
        <v>-1135012.8346607</v>
      </c>
      <c r="N31" s="14" t="n">
        <v>28168519.904449</v>
      </c>
      <c r="O31" s="14" t="n">
        <v>6187496.64495714</v>
      </c>
      <c r="P31" s="14" t="n">
        <v>34356016.5494062</v>
      </c>
    </row>
    <row r="32" customFormat="false" ht="15" hidden="false" customHeight="false" outlineLevel="0" collapsed="false">
      <c r="A32" s="13" t="s">
        <v>343</v>
      </c>
      <c r="B32" s="14" t="n">
        <v>3432249.08896868</v>
      </c>
      <c r="C32" s="14" t="n">
        <v>1926113.33503761</v>
      </c>
      <c r="D32" s="14" t="n">
        <v>3215599.5221057</v>
      </c>
      <c r="E32" s="14" t="n">
        <v>4002218.26259924</v>
      </c>
      <c r="F32" s="14" t="n">
        <v>681186.513059042</v>
      </c>
      <c r="G32" s="14" t="n">
        <v>754777.532044035</v>
      </c>
      <c r="H32" s="14" t="n">
        <v>2351029.19627083</v>
      </c>
      <c r="I32" s="14" t="n">
        <v>3276753.47722938</v>
      </c>
      <c r="J32" s="14" t="n">
        <v>2807581.866943</v>
      </c>
      <c r="K32" s="14" t="n">
        <v>4252904.05781524</v>
      </c>
      <c r="L32" s="14" t="n">
        <v>2436780.39141884</v>
      </c>
      <c r="M32" s="14" t="n">
        <v>-1201333.91792669</v>
      </c>
      <c r="N32" s="14" t="n">
        <v>27935859.3255649</v>
      </c>
      <c r="O32" s="14" t="n">
        <v>6960568.14096879</v>
      </c>
      <c r="P32" s="14" t="n">
        <v>34896427.4665337</v>
      </c>
    </row>
    <row r="33" customFormat="false" ht="15" hidden="false" customHeight="false" outlineLevel="0" collapsed="false">
      <c r="A33" s="13" t="s">
        <v>344</v>
      </c>
      <c r="B33" s="14" t="n">
        <v>3105695.22015006</v>
      </c>
      <c r="C33" s="14" t="n">
        <v>1482083.70373247</v>
      </c>
      <c r="D33" s="14" t="n">
        <v>3222332.85555718</v>
      </c>
      <c r="E33" s="14" t="n">
        <v>4422828.79052239</v>
      </c>
      <c r="F33" s="14" t="n">
        <v>943275.654101155</v>
      </c>
      <c r="G33" s="14" t="n">
        <v>1222836.93215647</v>
      </c>
      <c r="H33" s="14" t="n">
        <v>2567050.83325624</v>
      </c>
      <c r="I33" s="14" t="n">
        <v>3743838.75343409</v>
      </c>
      <c r="J33" s="14" t="n">
        <v>3250435.88203789</v>
      </c>
      <c r="K33" s="14" t="n">
        <v>4791002.44637154</v>
      </c>
      <c r="L33" s="14" t="n">
        <v>2323372.31094823</v>
      </c>
      <c r="M33" s="14" t="n">
        <v>-1001038.22092468</v>
      </c>
      <c r="N33" s="14" t="n">
        <v>30073715.161343</v>
      </c>
      <c r="O33" s="14" t="n">
        <v>7754392.33926371</v>
      </c>
      <c r="P33" s="14" t="n">
        <v>37828107.5006067</v>
      </c>
    </row>
    <row r="34" customFormat="false" ht="15" hidden="false" customHeight="false" outlineLevel="0" collapsed="false">
      <c r="A34" s="13" t="s">
        <v>345</v>
      </c>
      <c r="B34" s="14" t="n">
        <v>5020101.27595075</v>
      </c>
      <c r="C34" s="14" t="n">
        <v>2355433.36104821</v>
      </c>
      <c r="D34" s="14" t="n">
        <v>4189728.59378067</v>
      </c>
      <c r="E34" s="14" t="n">
        <v>3760867.0707934</v>
      </c>
      <c r="F34" s="14" t="n">
        <v>702669.311525462</v>
      </c>
      <c r="G34" s="14" t="n">
        <v>788384.7224565</v>
      </c>
      <c r="H34" s="14" t="n">
        <v>2355194.67174154</v>
      </c>
      <c r="I34" s="14" t="n">
        <v>2519704.54754439</v>
      </c>
      <c r="J34" s="14" t="n">
        <v>2759775.29957252</v>
      </c>
      <c r="K34" s="14" t="n">
        <v>4510788.79137681</v>
      </c>
      <c r="L34" s="14" t="n">
        <v>2322293.91289583</v>
      </c>
      <c r="M34" s="14" t="n">
        <v>-1293109.33926962</v>
      </c>
      <c r="N34" s="14" t="n">
        <v>29991832.2194165</v>
      </c>
      <c r="O34" s="14" t="n">
        <v>8222450.52739055</v>
      </c>
      <c r="P34" s="14" t="n">
        <v>38214282.746807</v>
      </c>
    </row>
    <row r="35" customFormat="false" ht="15" hidden="false" customHeight="false" outlineLevel="0" collapsed="false">
      <c r="A35" s="13" t="s">
        <v>346</v>
      </c>
      <c r="B35" s="14" t="n">
        <v>3895768.64901074</v>
      </c>
      <c r="C35" s="14" t="n">
        <v>2684063.74930681</v>
      </c>
      <c r="D35" s="14" t="n">
        <v>3729090.74363278</v>
      </c>
      <c r="E35" s="14" t="n">
        <v>4126718.01130968</v>
      </c>
      <c r="F35" s="14" t="n">
        <v>802617.18458809</v>
      </c>
      <c r="G35" s="14" t="n">
        <v>1165915.94854198</v>
      </c>
      <c r="H35" s="14" t="n">
        <v>3784039.1438678</v>
      </c>
      <c r="I35" s="14" t="n">
        <v>3437310.10093438</v>
      </c>
      <c r="J35" s="14" t="n">
        <v>3709234.30788529</v>
      </c>
      <c r="K35" s="14" t="n">
        <v>4330615.51722942</v>
      </c>
      <c r="L35" s="14" t="n">
        <v>2406999.4513492</v>
      </c>
      <c r="M35" s="14" t="n">
        <v>-1278771.31747431</v>
      </c>
      <c r="N35" s="14" t="n">
        <v>32793601.4901819</v>
      </c>
      <c r="O35" s="14" t="n">
        <v>8209727.01749631</v>
      </c>
      <c r="P35" s="14" t="n">
        <v>41003328.5076782</v>
      </c>
    </row>
    <row r="36" customFormat="false" ht="15" hidden="false" customHeight="false" outlineLevel="0" collapsed="false">
      <c r="A36" s="13" t="s">
        <v>347</v>
      </c>
      <c r="B36" s="14" t="n">
        <v>3816309.83728872</v>
      </c>
      <c r="C36" s="14" t="n">
        <v>2673105.81389642</v>
      </c>
      <c r="D36" s="14" t="n">
        <v>4826673.82319938</v>
      </c>
      <c r="E36" s="14" t="n">
        <v>4371629.87273559</v>
      </c>
      <c r="F36" s="14" t="n">
        <v>765899.494461416</v>
      </c>
      <c r="G36" s="14" t="n">
        <v>847722.043340636</v>
      </c>
      <c r="H36" s="14" t="n">
        <v>2814347.88835441</v>
      </c>
      <c r="I36" s="14" t="n">
        <v>3758004.17832625</v>
      </c>
      <c r="J36" s="14" t="n">
        <v>3051862.18609996</v>
      </c>
      <c r="K36" s="14" t="n">
        <v>5005357.00814295</v>
      </c>
      <c r="L36" s="14" t="n">
        <v>2695166.91169969</v>
      </c>
      <c r="M36" s="14" t="n">
        <v>-1368535.82664156</v>
      </c>
      <c r="N36" s="14" t="n">
        <v>33257543.2309039</v>
      </c>
      <c r="O36" s="14" t="n">
        <v>9639628.49326402</v>
      </c>
      <c r="P36" s="14" t="n">
        <v>42897171.7241679</v>
      </c>
    </row>
    <row r="37" customFormat="false" ht="15" hidden="false" customHeight="false" outlineLevel="0" collapsed="false">
      <c r="A37" s="13" t="s">
        <v>348</v>
      </c>
      <c r="B37" s="14" t="n">
        <v>3507955.53469843</v>
      </c>
      <c r="C37" s="14" t="n">
        <v>2063701.61084595</v>
      </c>
      <c r="D37" s="14" t="n">
        <v>3235002.97565418</v>
      </c>
      <c r="E37" s="14" t="n">
        <v>4926574.98463958</v>
      </c>
      <c r="F37" s="14" t="n">
        <v>1028640.74869259</v>
      </c>
      <c r="G37" s="14" t="n">
        <v>1438600.51430271</v>
      </c>
      <c r="H37" s="14" t="n">
        <v>2874119.63233611</v>
      </c>
      <c r="I37" s="14" t="n">
        <v>4238954.09288132</v>
      </c>
      <c r="J37" s="14" t="n">
        <v>3575539.09705638</v>
      </c>
      <c r="K37" s="14" t="n">
        <v>5486216.41715204</v>
      </c>
      <c r="L37" s="14" t="n">
        <v>2541346.43418665</v>
      </c>
      <c r="M37" s="14" t="n">
        <v>-1187923.70376384</v>
      </c>
      <c r="N37" s="14" t="n">
        <v>33728728.3386821</v>
      </c>
      <c r="O37" s="14" t="n">
        <v>10388051.5907051</v>
      </c>
      <c r="P37" s="14" t="n">
        <v>44116779.9293872</v>
      </c>
    </row>
    <row r="38" customFormat="false" ht="15" hidden="false" customHeight="false" outlineLevel="0" collapsed="false">
      <c r="A38" s="13" t="s">
        <v>349</v>
      </c>
      <c r="B38" s="14" t="n">
        <v>5421610.80968904</v>
      </c>
      <c r="C38" s="14" t="n">
        <v>3394145.48627894</v>
      </c>
      <c r="D38" s="14" t="n">
        <v>3613900.12051771</v>
      </c>
      <c r="E38" s="14" t="n">
        <v>4113545.93563422</v>
      </c>
      <c r="F38" s="14" t="n">
        <v>774468.854131245</v>
      </c>
      <c r="G38" s="14" t="n">
        <v>975612.241754767</v>
      </c>
      <c r="H38" s="14" t="n">
        <v>2454357.42662378</v>
      </c>
      <c r="I38" s="14" t="n">
        <v>2815260.76003273</v>
      </c>
      <c r="J38" s="14" t="n">
        <v>3300297.97534206</v>
      </c>
      <c r="K38" s="14" t="n">
        <v>5024186.83439943</v>
      </c>
      <c r="L38" s="14" t="n">
        <v>2506193.71466978</v>
      </c>
      <c r="M38" s="14" t="n">
        <v>-1674896.71093991</v>
      </c>
      <c r="N38" s="14" t="n">
        <v>32718683.4481338</v>
      </c>
      <c r="O38" s="14" t="n">
        <v>10066319.8046903</v>
      </c>
      <c r="P38" s="14" t="n">
        <v>42785003.2528241</v>
      </c>
    </row>
    <row r="39" customFormat="false" ht="15" hidden="false" customHeight="false" outlineLevel="0" collapsed="false">
      <c r="A39" s="13" t="s">
        <v>350</v>
      </c>
      <c r="B39" s="14" t="n">
        <v>4398461.62713475</v>
      </c>
      <c r="C39" s="14" t="n">
        <v>3986676.50873109</v>
      </c>
      <c r="D39" s="14" t="n">
        <v>2972727.22211439</v>
      </c>
      <c r="E39" s="14" t="n">
        <v>4576527.4057629</v>
      </c>
      <c r="F39" s="14" t="n">
        <v>877466.431451465</v>
      </c>
      <c r="G39" s="14" t="n">
        <v>1378456.22749671</v>
      </c>
      <c r="H39" s="14" t="n">
        <v>4054948.28079555</v>
      </c>
      <c r="I39" s="14" t="n">
        <v>3547278.25151934</v>
      </c>
      <c r="J39" s="14" t="n">
        <v>4426699.1522923</v>
      </c>
      <c r="K39" s="14" t="n">
        <v>4716911.63938551</v>
      </c>
      <c r="L39" s="14" t="n">
        <v>2636190.90977372</v>
      </c>
      <c r="M39" s="14" t="n">
        <v>-1722834.17691153</v>
      </c>
      <c r="N39" s="14" t="n">
        <v>35849509.4795462</v>
      </c>
      <c r="O39" s="14" t="n">
        <v>10148130.7086579</v>
      </c>
      <c r="P39" s="14" t="n">
        <v>45997640.1882041</v>
      </c>
    </row>
    <row r="40" customFormat="false" ht="15" hidden="false" customHeight="false" outlineLevel="0" collapsed="false">
      <c r="A40" s="13" t="s">
        <v>351</v>
      </c>
      <c r="B40" s="14" t="n">
        <v>4583382.35742776</v>
      </c>
      <c r="C40" s="14" t="n">
        <v>3176877.79045465</v>
      </c>
      <c r="D40" s="14" t="n">
        <v>3884765.80351955</v>
      </c>
      <c r="E40" s="14" t="n">
        <v>4994598.33865355</v>
      </c>
      <c r="F40" s="14" t="n">
        <v>810833.302615292</v>
      </c>
      <c r="G40" s="14" t="n">
        <v>961567.149451624</v>
      </c>
      <c r="H40" s="14" t="n">
        <v>2901357.99040556</v>
      </c>
      <c r="I40" s="14" t="n">
        <v>4058538.84935499</v>
      </c>
      <c r="J40" s="14" t="n">
        <v>3756692.66789394</v>
      </c>
      <c r="K40" s="14" t="n">
        <v>5593148.79079201</v>
      </c>
      <c r="L40" s="14" t="n">
        <v>2956537.53864091</v>
      </c>
      <c r="M40" s="14" t="n">
        <v>-1809926.80099753</v>
      </c>
      <c r="N40" s="14" t="n">
        <v>35868373.7782123</v>
      </c>
      <c r="O40" s="14" t="n">
        <v>11179122.7358356</v>
      </c>
      <c r="P40" s="14" t="n">
        <v>47047496.5140479</v>
      </c>
    </row>
    <row r="41" customFormat="false" ht="15" hidden="false" customHeight="false" outlineLevel="0" collapsed="false">
      <c r="A41" s="13" t="s">
        <v>352</v>
      </c>
      <c r="B41" s="14" t="n">
        <v>3960386.65809331</v>
      </c>
      <c r="C41" s="14" t="n">
        <v>3129515.27761522</v>
      </c>
      <c r="D41" s="14" t="n">
        <v>3205475.72124479</v>
      </c>
      <c r="E41" s="14" t="n">
        <v>5431616.13630279</v>
      </c>
      <c r="F41" s="14" t="n">
        <v>1086932.82946346</v>
      </c>
      <c r="G41" s="14" t="n">
        <v>1554420.76659706</v>
      </c>
      <c r="H41" s="14" t="n">
        <v>3090370.80233407</v>
      </c>
      <c r="I41" s="14" t="n">
        <v>4515437.41816121</v>
      </c>
      <c r="J41" s="14" t="n">
        <v>4515631.22046922</v>
      </c>
      <c r="K41" s="14" t="n">
        <v>6030463.0676336</v>
      </c>
      <c r="L41" s="14" t="n">
        <v>2791060.09753776</v>
      </c>
      <c r="M41" s="14" t="n">
        <v>-1568217.23207097</v>
      </c>
      <c r="N41" s="14" t="n">
        <v>37743092.7633815</v>
      </c>
      <c r="O41" s="14" t="n">
        <v>13580644.8881165</v>
      </c>
      <c r="P41" s="14" t="n">
        <v>51323737.651498</v>
      </c>
    </row>
    <row r="42" customFormat="false" ht="15" hidden="false" customHeight="false" outlineLevel="0" collapsed="false">
      <c r="A42" s="13" t="s">
        <v>353</v>
      </c>
      <c r="B42" s="14" t="n">
        <v>6190419.39818311</v>
      </c>
      <c r="C42" s="14" t="n">
        <v>4697998.62395667</v>
      </c>
      <c r="D42" s="14" t="n">
        <v>3585903.09195275</v>
      </c>
      <c r="E42" s="14" t="n">
        <v>4518705.90408852</v>
      </c>
      <c r="F42" s="14" t="n">
        <v>856479.859358969</v>
      </c>
      <c r="G42" s="14" t="n">
        <v>1072374.99075105</v>
      </c>
      <c r="H42" s="14" t="n">
        <v>2688272.73686605</v>
      </c>
      <c r="I42" s="14" t="n">
        <v>3024991.73189032</v>
      </c>
      <c r="J42" s="14" t="n">
        <v>3853510.08091652</v>
      </c>
      <c r="K42" s="14" t="n">
        <v>5819445.08311874</v>
      </c>
      <c r="L42" s="14" t="n">
        <v>2731410.29439855</v>
      </c>
      <c r="M42" s="14" t="n">
        <v>-1936910.40734328</v>
      </c>
      <c r="N42" s="14" t="n">
        <v>37102601.388138</v>
      </c>
      <c r="O42" s="14" t="n">
        <v>12726895.0169014</v>
      </c>
      <c r="P42" s="14" t="n">
        <v>49829496.4050394</v>
      </c>
    </row>
    <row r="43" customFormat="false" ht="15" hidden="false" customHeight="false" outlineLevel="0" collapsed="false">
      <c r="A43" s="13" t="s">
        <v>354</v>
      </c>
      <c r="B43" s="14" t="n">
        <v>4948817.21216662</v>
      </c>
      <c r="C43" s="14" t="n">
        <v>4920406.1649111</v>
      </c>
      <c r="D43" s="14" t="n">
        <v>2916350.47110488</v>
      </c>
      <c r="E43" s="14" t="n">
        <v>5054093.08391789</v>
      </c>
      <c r="F43" s="14" t="n">
        <v>967107.586297078</v>
      </c>
      <c r="G43" s="14" t="n">
        <v>1546393.68111485</v>
      </c>
      <c r="H43" s="14" t="n">
        <v>4414685.34905871</v>
      </c>
      <c r="I43" s="14" t="n">
        <v>4026618.51362137</v>
      </c>
      <c r="J43" s="14" t="n">
        <v>5042361.35747853</v>
      </c>
      <c r="K43" s="14" t="n">
        <v>5485274.20076494</v>
      </c>
      <c r="L43" s="14" t="n">
        <v>2888803.61315269</v>
      </c>
      <c r="M43" s="14" t="n">
        <v>-2053662.32389383</v>
      </c>
      <c r="N43" s="14" t="n">
        <v>40157248.9096948</v>
      </c>
      <c r="O43" s="14" t="n">
        <v>12291948.3231495</v>
      </c>
      <c r="P43" s="14" t="n">
        <v>52449197.2328443</v>
      </c>
    </row>
    <row r="44" customFormat="false" ht="15" hidden="false" customHeight="false" outlineLevel="0" collapsed="false">
      <c r="A44" s="13" t="s">
        <v>355</v>
      </c>
      <c r="B44" s="14" t="n">
        <v>5283536.63063267</v>
      </c>
      <c r="C44" s="14" t="n">
        <v>3808356.1854329</v>
      </c>
      <c r="D44" s="14" t="n">
        <v>3654619.59822559</v>
      </c>
      <c r="E44" s="14" t="n">
        <v>5386525.86703487</v>
      </c>
      <c r="F44" s="14" t="n">
        <v>897610.763830526</v>
      </c>
      <c r="G44" s="14" t="n">
        <v>1102090.96191254</v>
      </c>
      <c r="H44" s="14" t="n">
        <v>3079295.03966245</v>
      </c>
      <c r="I44" s="14" t="n">
        <v>4563487.83193023</v>
      </c>
      <c r="J44" s="14" t="n">
        <v>4172118.61172353</v>
      </c>
      <c r="K44" s="14" t="n">
        <v>6539420.09070645</v>
      </c>
      <c r="L44" s="14" t="n">
        <v>3248676.32107293</v>
      </c>
      <c r="M44" s="14" t="n">
        <v>-2031072.51592112</v>
      </c>
      <c r="N44" s="14" t="n">
        <v>39704665.3862435</v>
      </c>
      <c r="O44" s="14" t="n">
        <v>13799003.9396859</v>
      </c>
      <c r="P44" s="14" t="n">
        <v>53503669.3259295</v>
      </c>
    </row>
    <row r="45" customFormat="false" ht="15" hidden="false" customHeight="false" outlineLevel="0" collapsed="false">
      <c r="A45" s="13" t="s">
        <v>356</v>
      </c>
      <c r="B45" s="14" t="n">
        <v>4692873.99224426</v>
      </c>
      <c r="C45" s="14" t="n">
        <v>3254887.75596656</v>
      </c>
      <c r="D45" s="14" t="n">
        <v>3057508.07009781</v>
      </c>
      <c r="E45" s="14" t="n">
        <v>6073342.04079434</v>
      </c>
      <c r="F45" s="14" t="n">
        <v>1192726.65019414</v>
      </c>
      <c r="G45" s="14" t="n">
        <v>1854030.47994961</v>
      </c>
      <c r="H45" s="14" t="n">
        <v>3422213.67533626</v>
      </c>
      <c r="I45" s="14" t="n">
        <v>5043118.16436879</v>
      </c>
      <c r="J45" s="14" t="n">
        <v>5104530.6053094</v>
      </c>
      <c r="K45" s="14" t="n">
        <v>6960697.35376906</v>
      </c>
      <c r="L45" s="14" t="n">
        <v>3082154.40649971</v>
      </c>
      <c r="M45" s="14" t="n">
        <v>-1740775.21528178</v>
      </c>
      <c r="N45" s="14" t="n">
        <v>41997307.9792482</v>
      </c>
      <c r="O45" s="14" t="n">
        <v>14076360.720355</v>
      </c>
      <c r="P45" s="14" t="n">
        <v>56073668.6996031</v>
      </c>
    </row>
    <row r="46" customFormat="false" ht="15" hidden="false" customHeight="false" outlineLevel="0" collapsed="false">
      <c r="A46" s="13" t="s">
        <v>357</v>
      </c>
      <c r="B46" s="14" t="n">
        <v>6422745.07504547</v>
      </c>
      <c r="C46" s="14" t="n">
        <v>4825441.90437779</v>
      </c>
      <c r="D46" s="14" t="n">
        <v>3680000.46016784</v>
      </c>
      <c r="E46" s="14" t="n">
        <v>4786248.84932803</v>
      </c>
      <c r="F46" s="14" t="n">
        <v>920348.048882049</v>
      </c>
      <c r="G46" s="14" t="n">
        <v>1179978.21831908</v>
      </c>
      <c r="H46" s="14" t="n">
        <v>2833627.86379049</v>
      </c>
      <c r="I46" s="14" t="n">
        <v>3347410.20433097</v>
      </c>
      <c r="J46" s="14" t="n">
        <v>4492900.25980161</v>
      </c>
      <c r="K46" s="14" t="n">
        <v>6805680.60415777</v>
      </c>
      <c r="L46" s="14" t="n">
        <v>2962811.50050219</v>
      </c>
      <c r="M46" s="14" t="n">
        <v>-2283798.67330084</v>
      </c>
      <c r="N46" s="14" t="n">
        <v>39973394.3154024</v>
      </c>
      <c r="O46" s="14" t="n">
        <v>13987175.331998</v>
      </c>
      <c r="P46" s="14" t="n">
        <v>53960569.6474004</v>
      </c>
    </row>
    <row r="47" customFormat="false" ht="15" hidden="false" customHeight="false" outlineLevel="0" collapsed="false">
      <c r="A47" s="13" t="s">
        <v>358</v>
      </c>
      <c r="B47" s="14" t="n">
        <v>5173748.51595488</v>
      </c>
      <c r="C47" s="14" t="n">
        <v>5055584.61330544</v>
      </c>
      <c r="D47" s="14" t="n">
        <v>2965483.14035144</v>
      </c>
      <c r="E47" s="14" t="n">
        <v>5329199.07650484</v>
      </c>
      <c r="F47" s="14" t="n">
        <v>1035869.24264535</v>
      </c>
      <c r="G47" s="14" t="n">
        <v>1735322.23506985</v>
      </c>
      <c r="H47" s="14" t="n">
        <v>4607360.96026684</v>
      </c>
      <c r="I47" s="14" t="n">
        <v>4460248.31787254</v>
      </c>
      <c r="J47" s="14" t="n">
        <v>5581117.31228524</v>
      </c>
      <c r="K47" s="14" t="n">
        <v>6338682.92366916</v>
      </c>
      <c r="L47" s="14" t="n">
        <v>3105393.82947345</v>
      </c>
      <c r="M47" s="14" t="n">
        <v>-2295491.85869293</v>
      </c>
      <c r="N47" s="14" t="n">
        <v>43092518.3087061</v>
      </c>
      <c r="O47" s="14" t="n">
        <v>13542670.3572856</v>
      </c>
      <c r="P47" s="14" t="n">
        <v>56635188.6659917</v>
      </c>
    </row>
    <row r="48" customFormat="false" ht="15" hidden="false" customHeight="false" outlineLevel="0" collapsed="false">
      <c r="A48" s="13" t="s">
        <v>359</v>
      </c>
      <c r="B48" s="14" t="n">
        <v>5705442.48765674</v>
      </c>
      <c r="C48" s="14" t="n">
        <v>3763288.41537622</v>
      </c>
      <c r="D48" s="14" t="n">
        <v>4015317.21016955</v>
      </c>
      <c r="E48" s="14" t="n">
        <v>5743421.39372111</v>
      </c>
      <c r="F48" s="14" t="n">
        <v>984269.737301409</v>
      </c>
      <c r="G48" s="14" t="n">
        <v>1321317.62291341</v>
      </c>
      <c r="H48" s="14" t="n">
        <v>3209581.66630214</v>
      </c>
      <c r="I48" s="14" t="n">
        <v>5043881.12991684</v>
      </c>
      <c r="J48" s="14" t="n">
        <v>4719131.48982922</v>
      </c>
      <c r="K48" s="14" t="n">
        <v>7612497.43999657</v>
      </c>
      <c r="L48" s="14" t="n">
        <v>3498406.60122269</v>
      </c>
      <c r="M48" s="14" t="n">
        <v>-2260165.20833204</v>
      </c>
      <c r="N48" s="14" t="n">
        <v>43356389.9860739</v>
      </c>
      <c r="O48" s="14" t="n">
        <v>14512035.951881</v>
      </c>
      <c r="P48" s="14" t="n">
        <v>57868425.9379549</v>
      </c>
    </row>
    <row r="49" customFormat="false" ht="15" hidden="false" customHeight="false" outlineLevel="0" collapsed="false">
      <c r="A49" s="13" t="s">
        <v>360</v>
      </c>
      <c r="B49" s="14" t="n">
        <v>4906116.35659706</v>
      </c>
      <c r="C49" s="14" t="n">
        <v>2819721.20013597</v>
      </c>
      <c r="D49" s="14" t="n">
        <v>3057804.83174412</v>
      </c>
      <c r="E49" s="14" t="n">
        <v>6344874.80545786</v>
      </c>
      <c r="F49" s="14" t="n">
        <v>1318776.77616227</v>
      </c>
      <c r="G49" s="14" t="n">
        <v>2104882.799558</v>
      </c>
      <c r="H49" s="14" t="n">
        <v>3553032.38934182</v>
      </c>
      <c r="I49" s="14" t="n">
        <v>5573682.42509497</v>
      </c>
      <c r="J49" s="14" t="n">
        <v>5462331.15005898</v>
      </c>
      <c r="K49" s="14" t="n">
        <v>8019444.23736608</v>
      </c>
      <c r="L49" s="14" t="n">
        <v>3315294.45007279</v>
      </c>
      <c r="M49" s="14" t="n">
        <v>-1892093.23874419</v>
      </c>
      <c r="N49" s="14" t="n">
        <v>44583868.1828457</v>
      </c>
      <c r="O49" s="14" t="n">
        <v>14955606.7334398</v>
      </c>
      <c r="P49" s="14" t="n">
        <v>59539474.9162856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8" min="2" style="0" width="16"/>
  </cols>
  <sheetData>
    <row r="1" customFormat="false" ht="15" hidden="false" customHeight="false" outlineLevel="0" collapsed="false">
      <c r="A1" s="10" t="s">
        <v>362</v>
      </c>
    </row>
    <row r="2" customFormat="false" ht="15" hidden="false" customHeight="false" outlineLevel="0" collapsed="false">
      <c r="A2" s="11" t="s">
        <v>363</v>
      </c>
    </row>
    <row r="4" customFormat="false" ht="15" hidden="false" customHeight="false" outlineLevel="0" collapsed="false">
      <c r="A4" s="10" t="s">
        <v>324</v>
      </c>
    </row>
    <row r="5" customFormat="false" ht="53.7" hidden="false" customHeight="false" outlineLevel="0" collapsed="false">
      <c r="A5" s="12" t="s">
        <v>325</v>
      </c>
      <c r="B5" s="6" t="s">
        <v>364</v>
      </c>
      <c r="C5" s="6" t="s">
        <v>365</v>
      </c>
      <c r="D5" s="6" t="s">
        <v>366</v>
      </c>
      <c r="E5" s="6" t="s">
        <v>367</v>
      </c>
      <c r="F5" s="6" t="s">
        <v>368</v>
      </c>
      <c r="G5" s="6" t="s">
        <v>369</v>
      </c>
      <c r="H5" s="6" t="s">
        <v>340</v>
      </c>
    </row>
    <row r="6" customFormat="false" ht="15" hidden="false" customHeight="false" outlineLevel="0" collapsed="false">
      <c r="A6" s="13" t="s">
        <v>341</v>
      </c>
      <c r="B6" s="14" t="n">
        <v>756909.388467706</v>
      </c>
      <c r="C6" s="14" t="n">
        <v>5365594.68675972</v>
      </c>
      <c r="D6" s="14" t="n">
        <v>-45226.1657462149</v>
      </c>
      <c r="E6" s="14" t="n">
        <v>1066224.50792054</v>
      </c>
      <c r="F6" s="14" t="n">
        <v>2497238.80368111</v>
      </c>
      <c r="G6" s="14" t="n">
        <v>2374513.84257424</v>
      </c>
      <c r="H6" s="14" t="n">
        <v>7266227.37850862</v>
      </c>
    </row>
    <row r="7" customFormat="false" ht="15" hidden="false" customHeight="false" outlineLevel="0" collapsed="false">
      <c r="A7" s="13" t="s">
        <v>342</v>
      </c>
      <c r="B7" s="14" t="n">
        <v>876206.093110232</v>
      </c>
      <c r="C7" s="14" t="n">
        <v>5636743.89727969</v>
      </c>
      <c r="D7" s="14" t="n">
        <v>508252.936496469</v>
      </c>
      <c r="E7" s="14" t="n">
        <v>1184247.65713502</v>
      </c>
      <c r="F7" s="14" t="n">
        <v>2587873.66643518</v>
      </c>
      <c r="G7" s="14" t="n">
        <v>2355683.87662365</v>
      </c>
      <c r="H7" s="14" t="n">
        <v>8437640.37383294</v>
      </c>
    </row>
    <row r="8" customFormat="false" ht="15" hidden="false" customHeight="false" outlineLevel="0" collapsed="false">
      <c r="A8" s="13" t="s">
        <v>343</v>
      </c>
      <c r="B8" s="14" t="n">
        <v>926383.414367573</v>
      </c>
      <c r="C8" s="14" t="n">
        <v>5546354.5738958</v>
      </c>
      <c r="D8" s="14" t="n">
        <v>315721.377804266</v>
      </c>
      <c r="E8" s="14" t="n">
        <v>1238873.76259184</v>
      </c>
      <c r="F8" s="14" t="n">
        <v>2620283.40030656</v>
      </c>
      <c r="G8" s="14" t="n">
        <v>2395621.87240699</v>
      </c>
      <c r="H8" s="14" t="n">
        <v>8251994.65655905</v>
      </c>
    </row>
    <row r="9" customFormat="false" ht="15" hidden="false" customHeight="false" outlineLevel="0" collapsed="false">
      <c r="A9" s="13" t="s">
        <v>344</v>
      </c>
      <c r="B9" s="14" t="n">
        <v>1002534.52924773</v>
      </c>
      <c r="C9" s="14" t="n">
        <v>6571174.13840169</v>
      </c>
      <c r="D9" s="14" t="n">
        <v>-641540.765253696</v>
      </c>
      <c r="E9" s="14" t="n">
        <v>2063803.21310809</v>
      </c>
      <c r="F9" s="14" t="n">
        <v>2543296.06783967</v>
      </c>
      <c r="G9" s="14" t="n">
        <v>2909449.7825413</v>
      </c>
      <c r="H9" s="14" t="n">
        <v>8629817.40080219</v>
      </c>
    </row>
    <row r="10" customFormat="false" ht="15" hidden="false" customHeight="false" outlineLevel="0" collapsed="false">
      <c r="A10" s="13" t="s">
        <v>345</v>
      </c>
      <c r="B10" s="14" t="n">
        <v>794379.326690981</v>
      </c>
      <c r="C10" s="14" t="n">
        <v>5691289.92684525</v>
      </c>
      <c r="D10" s="14" t="n">
        <v>316463.218800457</v>
      </c>
      <c r="E10" s="14" t="n">
        <v>1235816.78638074</v>
      </c>
      <c r="F10" s="14" t="n">
        <v>2507218.47101602</v>
      </c>
      <c r="G10" s="14" t="n">
        <v>2829893.10280722</v>
      </c>
      <c r="H10" s="14" t="n">
        <v>7715274.62692623</v>
      </c>
    </row>
    <row r="11" customFormat="false" ht="15" hidden="false" customHeight="false" outlineLevel="0" collapsed="false">
      <c r="A11" s="13" t="s">
        <v>346</v>
      </c>
      <c r="B11" s="14" t="n">
        <v>954102.927382485</v>
      </c>
      <c r="C11" s="14" t="n">
        <v>5871760.79985782</v>
      </c>
      <c r="D11" s="14" t="n">
        <v>459699.492905901</v>
      </c>
      <c r="E11" s="14" t="n">
        <v>1426152.51575634</v>
      </c>
      <c r="F11" s="14" t="n">
        <v>2718770.97131376</v>
      </c>
      <c r="G11" s="14" t="n">
        <v>2633506.1094261</v>
      </c>
      <c r="H11" s="14" t="n">
        <v>8796980.5977902</v>
      </c>
    </row>
    <row r="12" customFormat="false" ht="15" hidden="false" customHeight="false" outlineLevel="0" collapsed="false">
      <c r="A12" s="13" t="s">
        <v>347</v>
      </c>
      <c r="B12" s="14" t="n">
        <v>981654.868979251</v>
      </c>
      <c r="C12" s="14" t="n">
        <v>5840156.14555223</v>
      </c>
      <c r="D12" s="14" t="n">
        <v>670927.935174544</v>
      </c>
      <c r="E12" s="14" t="n">
        <v>1553146.56824982</v>
      </c>
      <c r="F12" s="14" t="n">
        <v>2842853.36799439</v>
      </c>
      <c r="G12" s="14" t="n">
        <v>3205691.56246254</v>
      </c>
      <c r="H12" s="14" t="n">
        <v>8683047.3234877</v>
      </c>
    </row>
    <row r="13" customFormat="false" ht="15" hidden="false" customHeight="false" outlineLevel="0" collapsed="false">
      <c r="A13" s="13" t="s">
        <v>348</v>
      </c>
      <c r="B13" s="14" t="n">
        <v>1089896.9557258</v>
      </c>
      <c r="C13" s="14" t="n">
        <v>6919680.76510621</v>
      </c>
      <c r="D13" s="14" t="n">
        <v>-1155704.4002672</v>
      </c>
      <c r="E13" s="14" t="n">
        <v>2654905.09275365</v>
      </c>
      <c r="F13" s="14" t="n">
        <v>2650587.51645423</v>
      </c>
      <c r="G13" s="14" t="n">
        <v>3073199.81174901</v>
      </c>
      <c r="H13" s="14" t="n">
        <v>9086166.11802369</v>
      </c>
    </row>
    <row r="14" customFormat="false" ht="15" hidden="false" customHeight="false" outlineLevel="0" collapsed="false">
      <c r="A14" s="13" t="s">
        <v>349</v>
      </c>
      <c r="B14" s="14" t="n">
        <v>842202.961362631</v>
      </c>
      <c r="C14" s="14" t="n">
        <v>5953770.00021743</v>
      </c>
      <c r="D14" s="14" t="n">
        <v>463503.226465028</v>
      </c>
      <c r="E14" s="14" t="n">
        <v>1420913.87876968</v>
      </c>
      <c r="F14" s="14" t="n">
        <v>2563026.87473347</v>
      </c>
      <c r="G14" s="14" t="n">
        <v>3141620.24256358</v>
      </c>
      <c r="H14" s="14" t="n">
        <v>8101796.69898466</v>
      </c>
    </row>
    <row r="15" customFormat="false" ht="15" hidden="false" customHeight="false" outlineLevel="0" collapsed="false">
      <c r="A15" s="13" t="s">
        <v>350</v>
      </c>
      <c r="B15" s="14" t="n">
        <v>992383.153669621</v>
      </c>
      <c r="C15" s="14" t="n">
        <v>6106507.6903397</v>
      </c>
      <c r="D15" s="14" t="n">
        <v>188858.264589718</v>
      </c>
      <c r="E15" s="14" t="n">
        <v>1602381.86999815</v>
      </c>
      <c r="F15" s="14" t="n">
        <v>2997711.92351537</v>
      </c>
      <c r="G15" s="14" t="n">
        <v>2704829.69049839</v>
      </c>
      <c r="H15" s="14" t="n">
        <v>9183013.21161416</v>
      </c>
    </row>
    <row r="16" customFormat="false" ht="15" hidden="false" customHeight="false" outlineLevel="0" collapsed="false">
      <c r="A16" s="13" t="s">
        <v>351</v>
      </c>
      <c r="B16" s="14" t="n">
        <v>1034172.86843274</v>
      </c>
      <c r="C16" s="14" t="n">
        <v>6077419.97933764</v>
      </c>
      <c r="D16" s="14" t="n">
        <v>312302.710385132</v>
      </c>
      <c r="E16" s="14" t="n">
        <v>1479030.71199443</v>
      </c>
      <c r="F16" s="14" t="n">
        <v>3263649.96663037</v>
      </c>
      <c r="G16" s="14" t="n">
        <v>3084731.2658417</v>
      </c>
      <c r="H16" s="14" t="n">
        <v>9081844.97093862</v>
      </c>
    </row>
    <row r="17" customFormat="false" ht="15" hidden="false" customHeight="false" outlineLevel="0" collapsed="false">
      <c r="A17" s="13" t="s">
        <v>352</v>
      </c>
      <c r="B17" s="14" t="n">
        <v>1137893.650398</v>
      </c>
      <c r="C17" s="14" t="n">
        <v>7305392.12285653</v>
      </c>
      <c r="D17" s="14" t="n">
        <v>-1320154.54319176</v>
      </c>
      <c r="E17" s="14" t="n">
        <v>2541207.18600111</v>
      </c>
      <c r="F17" s="14" t="n">
        <v>3320252.57924079</v>
      </c>
      <c r="G17" s="14" t="n">
        <v>3313785.84845302</v>
      </c>
      <c r="H17" s="14" t="n">
        <v>9670805.14685164</v>
      </c>
    </row>
    <row r="18" customFormat="false" ht="15" hidden="false" customHeight="false" outlineLevel="0" collapsed="false">
      <c r="A18" s="13" t="s">
        <v>353</v>
      </c>
      <c r="B18" s="14" t="n">
        <v>914011.750835312</v>
      </c>
      <c r="C18" s="14" t="n">
        <v>6277844.74962303</v>
      </c>
      <c r="D18" s="14" t="n">
        <v>351435.761390864</v>
      </c>
      <c r="E18" s="14" t="n">
        <v>1422991.35372129</v>
      </c>
      <c r="F18" s="14" t="n">
        <v>3030162.1029631</v>
      </c>
      <c r="G18" s="14" t="n">
        <v>3339536.88400983</v>
      </c>
      <c r="H18" s="14" t="n">
        <v>8656908.83452376</v>
      </c>
    </row>
    <row r="19" customFormat="false" ht="15" hidden="false" customHeight="false" outlineLevel="0" collapsed="false">
      <c r="A19" s="13" t="s">
        <v>354</v>
      </c>
      <c r="B19" s="14" t="n">
        <v>1081185.43093333</v>
      </c>
      <c r="C19" s="14" t="n">
        <v>6457132.54084321</v>
      </c>
      <c r="D19" s="14" t="n">
        <v>312232.236152593</v>
      </c>
      <c r="E19" s="14" t="n">
        <v>1739499.40723631</v>
      </c>
      <c r="F19" s="14" t="n">
        <v>3075466.89553359</v>
      </c>
      <c r="G19" s="14" t="n">
        <v>2832031.40053722</v>
      </c>
      <c r="H19" s="14" t="n">
        <v>9833485.11016181</v>
      </c>
    </row>
    <row r="20" customFormat="false" ht="15" hidden="false" customHeight="false" outlineLevel="0" collapsed="false">
      <c r="A20" s="13" t="s">
        <v>355</v>
      </c>
      <c r="B20" s="14" t="n">
        <v>1143839.13308143</v>
      </c>
      <c r="C20" s="14" t="n">
        <v>6454385.06842934</v>
      </c>
      <c r="D20" s="14" t="n">
        <v>648497.468031338</v>
      </c>
      <c r="E20" s="14" t="n">
        <v>1712357.8153442</v>
      </c>
      <c r="F20" s="14" t="n">
        <v>3138381.08073326</v>
      </c>
      <c r="G20" s="14" t="n">
        <v>3353298.34514188</v>
      </c>
      <c r="H20" s="14" t="n">
        <v>9744162.22047769</v>
      </c>
    </row>
    <row r="21" customFormat="false" ht="15" hidden="false" customHeight="false" outlineLevel="0" collapsed="false">
      <c r="A21" s="13" t="s">
        <v>356</v>
      </c>
      <c r="B21" s="14" t="n">
        <v>1239843.56066056</v>
      </c>
      <c r="C21" s="14" t="n">
        <v>7761793.89644606</v>
      </c>
      <c r="D21" s="14" t="n">
        <v>-1420585.44324678</v>
      </c>
      <c r="E21" s="14" t="n">
        <v>2994681.73042208</v>
      </c>
      <c r="F21" s="14" t="n">
        <v>3397941.6874826</v>
      </c>
      <c r="G21" s="14" t="n">
        <v>3721661.73395159</v>
      </c>
      <c r="H21" s="14" t="n">
        <v>10252013.6978129</v>
      </c>
    </row>
    <row r="22" customFormat="false" ht="15" hidden="false" customHeight="false" outlineLevel="0" collapsed="false">
      <c r="A22" s="13" t="s">
        <v>357</v>
      </c>
      <c r="B22" s="14" t="n">
        <v>979213.976046427</v>
      </c>
      <c r="C22" s="14" t="n">
        <v>6619834.4332966</v>
      </c>
      <c r="D22" s="14" t="n">
        <v>479612.89578925</v>
      </c>
      <c r="E22" s="14" t="n">
        <v>1719106.32678619</v>
      </c>
      <c r="F22" s="14" t="n">
        <v>3256579.59011308</v>
      </c>
      <c r="G22" s="14" t="n">
        <v>3885788.86065989</v>
      </c>
      <c r="H22" s="14" t="n">
        <v>9168558.36137166</v>
      </c>
    </row>
    <row r="23" customFormat="false" ht="15" hidden="false" customHeight="false" outlineLevel="0" collapsed="false">
      <c r="A23" s="13" t="s">
        <v>358</v>
      </c>
      <c r="B23" s="14" t="n">
        <v>1150764.3061468</v>
      </c>
      <c r="C23" s="14" t="n">
        <v>6743319.39280043</v>
      </c>
      <c r="D23" s="14" t="n">
        <v>314994.620891635</v>
      </c>
      <c r="E23" s="14" t="n">
        <v>1839544.29108846</v>
      </c>
      <c r="F23" s="14" t="n">
        <v>3482106.71624831</v>
      </c>
      <c r="G23" s="14" t="n">
        <v>3225644.57840203</v>
      </c>
      <c r="H23" s="14" t="n">
        <v>10305084.7487736</v>
      </c>
    </row>
    <row r="24" customFormat="false" ht="15" hidden="false" customHeight="false" outlineLevel="0" collapsed="false">
      <c r="A24" s="13" t="s">
        <v>359</v>
      </c>
      <c r="B24" s="14" t="n">
        <v>1215628.63429372</v>
      </c>
      <c r="C24" s="14" t="n">
        <v>6819558.2198839</v>
      </c>
      <c r="D24" s="14" t="n">
        <v>862369.299301871</v>
      </c>
      <c r="E24" s="14" t="n">
        <v>1990753.31282918</v>
      </c>
      <c r="F24" s="14" t="n">
        <v>3578672.74512073</v>
      </c>
      <c r="G24" s="14" t="n">
        <v>4135668.7334362</v>
      </c>
      <c r="H24" s="14" t="n">
        <v>10331313.4779932</v>
      </c>
    </row>
    <row r="25" customFormat="false" ht="15" hidden="false" customHeight="false" outlineLevel="0" collapsed="false">
      <c r="A25" s="13" t="s">
        <v>360</v>
      </c>
      <c r="B25" s="14" t="n">
        <v>1327495.88207695</v>
      </c>
      <c r="C25" s="14" t="n">
        <v>8229229.96824121</v>
      </c>
      <c r="D25" s="14" t="n">
        <v>-1574198.1084484</v>
      </c>
      <c r="E25" s="14" t="n">
        <v>3099845.66796739</v>
      </c>
      <c r="F25" s="14" t="n">
        <v>3698199.10100159</v>
      </c>
      <c r="G25" s="14" t="n">
        <v>3997373.2727049</v>
      </c>
      <c r="H25" s="14" t="n">
        <v>10783199.2381338</v>
      </c>
    </row>
    <row r="28" customFormat="false" ht="15" hidden="false" customHeight="false" outlineLevel="0" collapsed="false">
      <c r="A28" s="10" t="s">
        <v>361</v>
      </c>
    </row>
    <row r="29" customFormat="false" ht="53.7" hidden="false" customHeight="false" outlineLevel="0" collapsed="false">
      <c r="A29" s="12" t="s">
        <v>325</v>
      </c>
      <c r="B29" s="6" t="s">
        <v>364</v>
      </c>
      <c r="C29" s="6" t="s">
        <v>365</v>
      </c>
      <c r="D29" s="6" t="s">
        <v>366</v>
      </c>
      <c r="E29" s="6" t="s">
        <v>367</v>
      </c>
      <c r="F29" s="6" t="s">
        <v>368</v>
      </c>
      <c r="G29" s="6" t="s">
        <v>369</v>
      </c>
      <c r="H29" s="6" t="s">
        <v>340</v>
      </c>
    </row>
    <row r="30" customFormat="false" ht="15" hidden="false" customHeight="false" outlineLevel="0" collapsed="false">
      <c r="A30" s="13" t="s">
        <v>341</v>
      </c>
      <c r="B30" s="14" t="n">
        <v>3807830.00000312</v>
      </c>
      <c r="C30" s="14" t="n">
        <v>21697952.1465926</v>
      </c>
      <c r="D30" s="14" t="n">
        <v>-320845.872172243</v>
      </c>
      <c r="E30" s="14" t="n">
        <v>4300730.75319899</v>
      </c>
      <c r="F30" s="14" t="n">
        <v>11866528.3011034</v>
      </c>
      <c r="G30" s="14" t="n">
        <v>10557178.8039907</v>
      </c>
      <c r="H30" s="14" t="n">
        <v>30795016.5247351</v>
      </c>
    </row>
    <row r="31" customFormat="false" ht="15" hidden="false" customHeight="false" outlineLevel="0" collapsed="false">
      <c r="A31" s="13" t="s">
        <v>342</v>
      </c>
      <c r="B31" s="14" t="n">
        <v>4704370.00000015</v>
      </c>
      <c r="C31" s="14" t="n">
        <v>18503413.7086972</v>
      </c>
      <c r="D31" s="14" t="n">
        <v>2727004.53153255</v>
      </c>
      <c r="E31" s="14" t="n">
        <v>4972165.18560599</v>
      </c>
      <c r="F31" s="14" t="n">
        <v>14222719.7494108</v>
      </c>
      <c r="G31" s="14" t="n">
        <v>10773656.6258406</v>
      </c>
      <c r="H31" s="14" t="n">
        <v>34356016.5494061</v>
      </c>
    </row>
    <row r="32" customFormat="false" ht="15" hidden="false" customHeight="false" outlineLevel="0" collapsed="false">
      <c r="A32" s="13" t="s">
        <v>343</v>
      </c>
      <c r="B32" s="14" t="n">
        <v>4825520.99999852</v>
      </c>
      <c r="C32" s="14" t="n">
        <v>20198242.7603016</v>
      </c>
      <c r="D32" s="14" t="n">
        <v>111746.495355922</v>
      </c>
      <c r="E32" s="14" t="n">
        <v>5795599.7552066</v>
      </c>
      <c r="F32" s="14" t="n">
        <v>15620078.4079234</v>
      </c>
      <c r="G32" s="14" t="n">
        <v>11654760.9522523</v>
      </c>
      <c r="H32" s="14" t="n">
        <v>34896427.4665337</v>
      </c>
    </row>
    <row r="33" customFormat="false" ht="15" hidden="false" customHeight="false" outlineLevel="0" collapsed="false">
      <c r="A33" s="13" t="s">
        <v>344</v>
      </c>
      <c r="B33" s="14" t="n">
        <v>5732149.99999821</v>
      </c>
      <c r="C33" s="14" t="n">
        <v>25494770.5221901</v>
      </c>
      <c r="D33" s="14" t="n">
        <v>-1918459.22769106</v>
      </c>
      <c r="E33" s="14" t="n">
        <v>7780581.67163733</v>
      </c>
      <c r="F33" s="14" t="n">
        <v>15078112.678783</v>
      </c>
      <c r="G33" s="14" t="n">
        <v>14339048.1443108</v>
      </c>
      <c r="H33" s="14" t="n">
        <v>37828107.5006068</v>
      </c>
    </row>
    <row r="34" customFormat="false" ht="15" hidden="false" customHeight="false" outlineLevel="0" collapsed="false">
      <c r="A34" s="13" t="s">
        <v>345</v>
      </c>
      <c r="B34" s="14" t="n">
        <v>4309942.19999925</v>
      </c>
      <c r="C34" s="14" t="n">
        <v>24989417.7672399</v>
      </c>
      <c r="D34" s="14" t="n">
        <v>1888276.60937024</v>
      </c>
      <c r="E34" s="14" t="n">
        <v>5245050.82480596</v>
      </c>
      <c r="F34" s="14" t="n">
        <v>14896421.0838311</v>
      </c>
      <c r="G34" s="14" t="n">
        <v>13114825.7384832</v>
      </c>
      <c r="H34" s="14" t="n">
        <v>38214282.7467633</v>
      </c>
    </row>
    <row r="35" customFormat="false" ht="15" hidden="false" customHeight="false" outlineLevel="0" collapsed="false">
      <c r="A35" s="13" t="s">
        <v>346</v>
      </c>
      <c r="B35" s="14" t="n">
        <v>5826016.13582496</v>
      </c>
      <c r="C35" s="14" t="n">
        <v>21796334.9881457</v>
      </c>
      <c r="D35" s="14" t="n">
        <v>3144378.12555738</v>
      </c>
      <c r="E35" s="14" t="n">
        <v>6962836.58007149</v>
      </c>
      <c r="F35" s="14" t="n">
        <v>17949113.0950163</v>
      </c>
      <c r="G35" s="14" t="n">
        <v>14675350.4169401</v>
      </c>
      <c r="H35" s="14" t="n">
        <v>41003328.5076758</v>
      </c>
    </row>
    <row r="36" customFormat="false" ht="15" hidden="false" customHeight="false" outlineLevel="0" collapsed="false">
      <c r="A36" s="13" t="s">
        <v>347</v>
      </c>
      <c r="B36" s="14" t="n">
        <v>5765649.55640036</v>
      </c>
      <c r="C36" s="14" t="n">
        <v>23904367.7165768</v>
      </c>
      <c r="D36" s="14" t="n">
        <v>270959.862921839</v>
      </c>
      <c r="E36" s="14" t="n">
        <v>8956932.23633937</v>
      </c>
      <c r="F36" s="14" t="n">
        <v>21735688.7270048</v>
      </c>
      <c r="G36" s="14" t="n">
        <v>17736426.3750546</v>
      </c>
      <c r="H36" s="14" t="n">
        <v>42897171.7241886</v>
      </c>
    </row>
    <row r="37" customFormat="false" ht="15" hidden="false" customHeight="false" outlineLevel="0" collapsed="false">
      <c r="A37" s="13" t="s">
        <v>348</v>
      </c>
      <c r="B37" s="14" t="n">
        <v>7000283.32712364</v>
      </c>
      <c r="C37" s="14" t="n">
        <v>30219648.9253442</v>
      </c>
      <c r="D37" s="14" t="n">
        <v>-3890768.02478407</v>
      </c>
      <c r="E37" s="14" t="n">
        <v>10362036.2753242</v>
      </c>
      <c r="F37" s="14" t="n">
        <v>18713102.2123277</v>
      </c>
      <c r="G37" s="14" t="n">
        <v>18287522.7770458</v>
      </c>
      <c r="H37" s="14" t="n">
        <v>44116779.93829</v>
      </c>
    </row>
    <row r="38" customFormat="false" ht="15" hidden="false" customHeight="false" outlineLevel="0" collapsed="false">
      <c r="A38" s="13" t="s">
        <v>349</v>
      </c>
      <c r="B38" s="14" t="n">
        <v>4802413.11283903</v>
      </c>
      <c r="C38" s="14" t="n">
        <v>27571735.4460301</v>
      </c>
      <c r="D38" s="14" t="n">
        <v>2516321.91228551</v>
      </c>
      <c r="E38" s="14" t="n">
        <v>6761498.33304086</v>
      </c>
      <c r="F38" s="14" t="n">
        <v>17296399.8888893</v>
      </c>
      <c r="G38" s="14" t="n">
        <v>16163365.4402608</v>
      </c>
      <c r="H38" s="14" t="n">
        <v>42785003.2528241</v>
      </c>
    </row>
    <row r="39" customFormat="false" ht="15" hidden="false" customHeight="false" outlineLevel="0" collapsed="false">
      <c r="A39" s="13" t="s">
        <v>350</v>
      </c>
      <c r="B39" s="14" t="n">
        <v>6386925.15202393</v>
      </c>
      <c r="C39" s="14" t="n">
        <v>23899325.6570024</v>
      </c>
      <c r="D39" s="14" t="n">
        <v>1947863.16465715</v>
      </c>
      <c r="E39" s="14" t="n">
        <v>8240325.91012319</v>
      </c>
      <c r="F39" s="14" t="n">
        <v>21948063.5822892</v>
      </c>
      <c r="G39" s="14" t="n">
        <v>16424863.2778918</v>
      </c>
      <c r="H39" s="14" t="n">
        <v>45997640.1882041</v>
      </c>
    </row>
    <row r="40" customFormat="false" ht="15" hidden="false" customHeight="false" outlineLevel="0" collapsed="false">
      <c r="A40" s="13" t="s">
        <v>351</v>
      </c>
      <c r="B40" s="14" t="n">
        <v>6363391.00699162</v>
      </c>
      <c r="C40" s="14" t="n">
        <v>26076508.8650726</v>
      </c>
      <c r="D40" s="14" t="n">
        <v>23554.7311843934</v>
      </c>
      <c r="E40" s="14" t="n">
        <v>8225795.84230872</v>
      </c>
      <c r="F40" s="14" t="n">
        <v>24271404.9077738</v>
      </c>
      <c r="G40" s="14" t="n">
        <v>17913158.8392832</v>
      </c>
      <c r="H40" s="14" t="n">
        <v>47047496.5140479</v>
      </c>
    </row>
    <row r="41" customFormat="false" ht="15" hidden="false" customHeight="false" outlineLevel="0" collapsed="false">
      <c r="A41" s="13" t="s">
        <v>352</v>
      </c>
      <c r="B41" s="14" t="n">
        <v>7600053.76235787</v>
      </c>
      <c r="C41" s="14" t="n">
        <v>33816003.4528101</v>
      </c>
      <c r="D41" s="14" t="n">
        <v>-5778886.78702819</v>
      </c>
      <c r="E41" s="14" t="n">
        <v>11139216.7389897</v>
      </c>
      <c r="F41" s="14" t="n">
        <v>24757497.534161</v>
      </c>
      <c r="G41" s="14" t="n">
        <v>20210147.0497924</v>
      </c>
      <c r="H41" s="14" t="n">
        <v>51323737.651498</v>
      </c>
    </row>
    <row r="42" customFormat="false" ht="15" hidden="false" customHeight="false" outlineLevel="0" collapsed="false">
      <c r="A42" s="13" t="s">
        <v>353</v>
      </c>
      <c r="B42" s="14" t="n">
        <v>5549355.3289839</v>
      </c>
      <c r="C42" s="14" t="n">
        <v>30747030.5103418</v>
      </c>
      <c r="D42" s="14" t="n">
        <v>493442.059506832</v>
      </c>
      <c r="E42" s="14" t="n">
        <v>7604210.46472096</v>
      </c>
      <c r="F42" s="14" t="n">
        <v>23455975.4517006</v>
      </c>
      <c r="G42" s="14" t="n">
        <v>18020517.4099457</v>
      </c>
      <c r="H42" s="14" t="n">
        <v>49829496.4053084</v>
      </c>
    </row>
    <row r="43" customFormat="false" ht="15" hidden="false" customHeight="false" outlineLevel="0" collapsed="false">
      <c r="A43" s="13" t="s">
        <v>354</v>
      </c>
      <c r="B43" s="14" t="n">
        <v>7395746.56116953</v>
      </c>
      <c r="C43" s="14" t="n">
        <v>27150748.9374377</v>
      </c>
      <c r="D43" s="14" t="n">
        <v>3579997.33466182</v>
      </c>
      <c r="E43" s="14" t="n">
        <v>9554694.97904137</v>
      </c>
      <c r="F43" s="14" t="n">
        <v>23194180.9205822</v>
      </c>
      <c r="G43" s="14" t="n">
        <v>18426171.5000483</v>
      </c>
      <c r="H43" s="14" t="n">
        <v>52449197.2328443</v>
      </c>
    </row>
    <row r="44" customFormat="false" ht="15" hidden="false" customHeight="false" outlineLevel="0" collapsed="false">
      <c r="A44" s="13" t="s">
        <v>355</v>
      </c>
      <c r="B44" s="14" t="n">
        <v>7494593.81163127</v>
      </c>
      <c r="C44" s="14" t="n">
        <v>30102760.3010357</v>
      </c>
      <c r="D44" s="14" t="n">
        <v>1680830.59428929</v>
      </c>
      <c r="E44" s="14" t="n">
        <v>10093494.4712701</v>
      </c>
      <c r="F44" s="14" t="n">
        <v>23989483.1902027</v>
      </c>
      <c r="G44" s="14" t="n">
        <v>19857493.0424995</v>
      </c>
      <c r="H44" s="14" t="n">
        <v>53503669.3259295</v>
      </c>
    </row>
    <row r="45" customFormat="false" ht="15" hidden="false" customHeight="false" outlineLevel="0" collapsed="false">
      <c r="A45" s="13" t="s">
        <v>356</v>
      </c>
      <c r="B45" s="14" t="n">
        <v>8884387.26684121</v>
      </c>
      <c r="C45" s="14" t="n">
        <v>39508629.9130996</v>
      </c>
      <c r="D45" s="14" t="n">
        <v>-5844001.5165612</v>
      </c>
      <c r="E45" s="14" t="n">
        <v>13127533.0803089</v>
      </c>
      <c r="F45" s="14" t="n">
        <v>22772937.8533594</v>
      </c>
      <c r="G45" s="14" t="n">
        <v>22375817.8974448</v>
      </c>
      <c r="H45" s="14" t="n">
        <v>56073668.6996031</v>
      </c>
    </row>
    <row r="46" customFormat="false" ht="15" hidden="false" customHeight="false" outlineLevel="0" collapsed="false">
      <c r="A46" s="13" t="s">
        <v>357</v>
      </c>
      <c r="B46" s="14" t="n">
        <v>6492655.58171739</v>
      </c>
      <c r="C46" s="14" t="n">
        <v>34850555.5978029</v>
      </c>
      <c r="D46" s="14" t="n">
        <v>1062627.06481729</v>
      </c>
      <c r="E46" s="14" t="n">
        <v>9609259.46122685</v>
      </c>
      <c r="F46" s="14" t="n">
        <v>24273037.3016948</v>
      </c>
      <c r="G46" s="14" t="n">
        <v>22327565.3607024</v>
      </c>
      <c r="H46" s="14" t="n">
        <v>53960569.6465569</v>
      </c>
    </row>
    <row r="47" customFormat="false" ht="15" hidden="false" customHeight="false" outlineLevel="0" collapsed="false">
      <c r="A47" s="13" t="s">
        <v>358</v>
      </c>
      <c r="B47" s="14" t="n">
        <v>8348276.79526011</v>
      </c>
      <c r="C47" s="14" t="n">
        <v>30383562.2119135</v>
      </c>
      <c r="D47" s="14" t="n">
        <v>2958068.43891723</v>
      </c>
      <c r="E47" s="14" t="n">
        <v>11007531.4236111</v>
      </c>
      <c r="F47" s="14" t="n">
        <v>25727204.4842109</v>
      </c>
      <c r="G47" s="14" t="n">
        <v>21789454.6879211</v>
      </c>
      <c r="H47" s="14" t="n">
        <v>56635188.6659917</v>
      </c>
    </row>
    <row r="48" customFormat="false" ht="15" hidden="false" customHeight="false" outlineLevel="0" collapsed="false">
      <c r="A48" s="13" t="s">
        <v>359</v>
      </c>
      <c r="B48" s="14" t="n">
        <v>8604792.66285337</v>
      </c>
      <c r="C48" s="14" t="n">
        <v>33750600.5711376</v>
      </c>
      <c r="D48" s="14" t="n">
        <v>1518478.93907096</v>
      </c>
      <c r="E48" s="14" t="n">
        <v>13500274.2107023</v>
      </c>
      <c r="F48" s="14" t="n">
        <v>26505323.7571873</v>
      </c>
      <c r="G48" s="14" t="n">
        <v>26011044.2029966</v>
      </c>
      <c r="H48" s="14" t="n">
        <v>57868425.9379548</v>
      </c>
    </row>
    <row r="49" customFormat="false" ht="15" hidden="false" customHeight="false" outlineLevel="0" collapsed="false">
      <c r="A49" s="13" t="s">
        <v>360</v>
      </c>
      <c r="B49" s="14" t="n">
        <v>10086879.4332181</v>
      </c>
      <c r="C49" s="14" t="n">
        <v>44514970.4115336</v>
      </c>
      <c r="D49" s="14" t="n">
        <v>-5421188.44365259</v>
      </c>
      <c r="E49" s="14" t="n">
        <v>13722775.7759908</v>
      </c>
      <c r="F49" s="14" t="n">
        <v>22204259.2967604</v>
      </c>
      <c r="G49" s="14" t="n">
        <v>25568221.5575647</v>
      </c>
      <c r="H49" s="14" t="n">
        <v>59539474.9162855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6" min="2" style="0" width="14"/>
  </cols>
  <sheetData>
    <row r="1" customFormat="false" ht="15" hidden="false" customHeight="false" outlineLevel="0" collapsed="false">
      <c r="A1" s="10" t="s">
        <v>370</v>
      </c>
    </row>
    <row r="2" customFormat="false" ht="15" hidden="false" customHeight="false" outlineLevel="0" collapsed="false">
      <c r="A2" s="11" t="s">
        <v>371</v>
      </c>
    </row>
    <row r="4" customFormat="false" ht="15" hidden="false" customHeight="false" outlineLevel="0" collapsed="false">
      <c r="A4" s="10" t="s">
        <v>372</v>
      </c>
    </row>
    <row r="5" customFormat="false" ht="15" hidden="false" customHeight="false" outlineLevel="0" collapsed="false">
      <c r="A5" s="12" t="s">
        <v>373</v>
      </c>
      <c r="B5" s="12" t="n">
        <v>2010</v>
      </c>
      <c r="C5" s="12" t="n">
        <v>2011</v>
      </c>
      <c r="D5" s="12" t="n">
        <v>2012</v>
      </c>
      <c r="E5" s="12" t="n">
        <v>2013</v>
      </c>
      <c r="F5" s="12" t="n">
        <v>2014</v>
      </c>
    </row>
    <row r="6" customFormat="false" ht="15" hidden="false" customHeight="false" outlineLevel="0" collapsed="false">
      <c r="A6" s="10" t="s">
        <v>374</v>
      </c>
      <c r="B6" s="14" t="n">
        <v>136436.250434286</v>
      </c>
      <c r="C6" s="14" t="n">
        <v>397405.159971711</v>
      </c>
      <c r="D6" s="14" t="n">
        <v>559079.62154294</v>
      </c>
      <c r="E6" s="14" t="n">
        <v>692158.250728863</v>
      </c>
      <c r="F6" s="14" t="n">
        <v>753565.7</v>
      </c>
    </row>
    <row r="7" customFormat="false" ht="15" hidden="false" customHeight="false" outlineLevel="0" collapsed="false">
      <c r="A7" s="15" t="s">
        <v>375</v>
      </c>
      <c r="B7" s="14" t="n">
        <v>27834.1647128571</v>
      </c>
      <c r="C7" s="14" t="n">
        <v>89348.7724186704</v>
      </c>
      <c r="D7" s="14" t="n">
        <v>71475.2547307133</v>
      </c>
      <c r="E7" s="14" t="n">
        <v>113666.997084548</v>
      </c>
      <c r="F7" s="14" t="n">
        <v>108064.937755102</v>
      </c>
    </row>
    <row r="8" customFormat="false" ht="15" hidden="false" customHeight="false" outlineLevel="0" collapsed="false">
      <c r="A8" s="15" t="s">
        <v>376</v>
      </c>
      <c r="B8" s="14" t="n">
        <v>108602.085721429</v>
      </c>
      <c r="C8" s="14" t="n">
        <v>308056.387553041</v>
      </c>
      <c r="D8" s="14" t="n">
        <v>487604.366812227</v>
      </c>
      <c r="E8" s="14" t="n">
        <v>578491.253644315</v>
      </c>
      <c r="F8" s="14" t="n">
        <v>645500.762244898</v>
      </c>
    </row>
    <row r="9" customFormat="false" ht="15" hidden="false" customHeight="false" outlineLevel="0" collapsed="false">
      <c r="A9" s="10" t="s">
        <v>377</v>
      </c>
      <c r="B9" s="14" t="n">
        <v>160399.540561429</v>
      </c>
      <c r="C9" s="14" t="n">
        <v>233810.197312587</v>
      </c>
      <c r="D9" s="14" t="n">
        <v>367318.340611354</v>
      </c>
      <c r="E9" s="14" t="n">
        <v>415408.381924198</v>
      </c>
      <c r="F9" s="14" t="n">
        <v>461320.33877551</v>
      </c>
    </row>
    <row r="10" customFormat="false" ht="15" hidden="false" customHeight="false" outlineLevel="0" collapsed="false">
      <c r="A10" s="15" t="s">
        <v>378</v>
      </c>
      <c r="B10" s="14" t="n">
        <v>83613.8129185714</v>
      </c>
      <c r="C10" s="14" t="n">
        <v>134773.770297029</v>
      </c>
      <c r="D10" s="14" t="n">
        <v>180186.462882096</v>
      </c>
      <c r="E10" s="14" t="n">
        <v>222642.857142857</v>
      </c>
      <c r="F10" s="14" t="n">
        <v>275493.719387755</v>
      </c>
    </row>
    <row r="11" customFormat="false" ht="15" hidden="false" customHeight="false" outlineLevel="0" collapsed="false">
      <c r="A11" s="15" t="s">
        <v>379</v>
      </c>
      <c r="B11" s="14" t="n">
        <v>11858.57828</v>
      </c>
      <c r="C11" s="14" t="n">
        <v>18971.0987270155</v>
      </c>
      <c r="D11" s="14" t="n">
        <v>70421.5429403202</v>
      </c>
      <c r="E11" s="14" t="n">
        <v>101343.367346939</v>
      </c>
      <c r="F11" s="14" t="n">
        <v>119233.358892128</v>
      </c>
    </row>
    <row r="12" customFormat="false" ht="15" hidden="false" customHeight="false" outlineLevel="0" collapsed="false">
      <c r="A12" s="15" t="s">
        <v>380</v>
      </c>
      <c r="B12" s="14" t="n">
        <v>64927.1493628572</v>
      </c>
      <c r="C12" s="14" t="n">
        <v>80065.328288543</v>
      </c>
      <c r="D12" s="14" t="n">
        <v>116710.334788937</v>
      </c>
      <c r="E12" s="14" t="n">
        <v>91422.1574344023</v>
      </c>
      <c r="F12" s="14" t="n">
        <v>66593.2604956268</v>
      </c>
    </row>
    <row r="13" customFormat="false" ht="15" hidden="false" customHeight="false" outlineLevel="0" collapsed="false">
      <c r="A13" s="10" t="s">
        <v>381</v>
      </c>
      <c r="B13" s="14" t="n">
        <v>724601.861145714</v>
      </c>
      <c r="C13" s="14" t="n">
        <v>959748.127722774</v>
      </c>
      <c r="D13" s="14" t="n">
        <v>1158259.6797671</v>
      </c>
      <c r="E13" s="14" t="n">
        <v>1502590.67055394</v>
      </c>
      <c r="F13" s="14" t="n">
        <v>1654212.5476691</v>
      </c>
    </row>
    <row r="14" customFormat="false" ht="15" hidden="false" customHeight="false" outlineLevel="0" collapsed="false">
      <c r="A14" s="15" t="s">
        <v>382</v>
      </c>
      <c r="B14" s="14" t="n">
        <v>600701.573137143</v>
      </c>
      <c r="C14" s="14" t="n">
        <v>722343.445544556</v>
      </c>
      <c r="D14" s="14" t="n">
        <v>896701.018922853</v>
      </c>
      <c r="E14" s="14" t="n">
        <v>1082893.07580175</v>
      </c>
      <c r="F14" s="14" t="n">
        <v>1310198.6877551</v>
      </c>
    </row>
    <row r="15" customFormat="false" ht="15" hidden="false" customHeight="false" outlineLevel="0" collapsed="false">
      <c r="A15" s="15" t="s">
        <v>383</v>
      </c>
      <c r="B15" s="14" t="n">
        <v>70959.0821542857</v>
      </c>
      <c r="C15" s="14" t="n">
        <v>106874.417963225</v>
      </c>
      <c r="D15" s="14" t="n">
        <v>123303.930131004</v>
      </c>
      <c r="E15" s="14" t="n">
        <v>173495.991253644</v>
      </c>
      <c r="F15" s="14" t="n">
        <v>214447.916765306</v>
      </c>
    </row>
    <row r="16" customFormat="false" ht="15" hidden="false" customHeight="false" outlineLevel="0" collapsed="false">
      <c r="A16" s="15" t="s">
        <v>384</v>
      </c>
      <c r="B16" s="14" t="n">
        <v>8841.51057142857</v>
      </c>
      <c r="C16" s="14" t="n">
        <v>85476.842291372</v>
      </c>
      <c r="D16" s="14" t="n">
        <v>81969.4323144105</v>
      </c>
      <c r="E16" s="14" t="n">
        <v>137926.38483965</v>
      </c>
      <c r="F16" s="14" t="n">
        <v>34470.1327988338</v>
      </c>
    </row>
    <row r="17" customFormat="false" ht="15" hidden="false" customHeight="false" outlineLevel="0" collapsed="false">
      <c r="A17" s="15" t="s">
        <v>385</v>
      </c>
      <c r="B17" s="14" t="n">
        <v>44099.6952828571</v>
      </c>
      <c r="C17" s="14" t="n">
        <v>45053.421923621</v>
      </c>
      <c r="D17" s="14" t="n">
        <v>56285.2983988355</v>
      </c>
      <c r="E17" s="14" t="n">
        <v>108275.218658892</v>
      </c>
      <c r="F17" s="14" t="n">
        <v>95095.8103498542</v>
      </c>
    </row>
    <row r="18" customFormat="false" ht="15" hidden="false" customHeight="false" outlineLevel="0" collapsed="false">
      <c r="A18" s="10" t="s">
        <v>386</v>
      </c>
      <c r="B18" s="14" t="n">
        <v>471700.509402857</v>
      </c>
      <c r="C18" s="14" t="n">
        <v>566152.753889676</v>
      </c>
      <c r="D18" s="14" t="n">
        <v>742518.340611354</v>
      </c>
      <c r="E18" s="14" t="n">
        <v>1084300.14577259</v>
      </c>
      <c r="F18" s="14" t="n">
        <v>1447916.39664723</v>
      </c>
    </row>
    <row r="19" customFormat="false" ht="15" hidden="false" customHeight="false" outlineLevel="0" collapsed="false">
      <c r="A19" s="15" t="s">
        <v>387</v>
      </c>
      <c r="B19" s="14" t="n">
        <v>71612.37871</v>
      </c>
      <c r="C19" s="14" t="n">
        <v>79674.1787835928</v>
      </c>
      <c r="D19" s="14" t="n">
        <v>93437.4090247453</v>
      </c>
      <c r="E19" s="14" t="n">
        <v>151303.498542274</v>
      </c>
      <c r="F19" s="14" t="n">
        <v>157561.637755102</v>
      </c>
    </row>
    <row r="20" customFormat="false" ht="15" hidden="false" customHeight="false" outlineLevel="0" collapsed="false">
      <c r="A20" s="15" t="s">
        <v>388</v>
      </c>
      <c r="B20" s="14" t="n">
        <v>176913.583117143</v>
      </c>
      <c r="C20" s="14" t="n">
        <v>170431.28175389</v>
      </c>
      <c r="D20" s="14" t="n">
        <v>232775.545851528</v>
      </c>
      <c r="E20" s="14" t="n">
        <v>326377.405247813</v>
      </c>
      <c r="F20" s="14" t="n">
        <v>454722.04548105</v>
      </c>
    </row>
    <row r="21" customFormat="false" ht="15" hidden="false" customHeight="false" outlineLevel="0" collapsed="false">
      <c r="A21" s="15" t="s">
        <v>389</v>
      </c>
      <c r="B21" s="14" t="n">
        <v>78822.6388614286</v>
      </c>
      <c r="C21" s="14" t="n">
        <v>119886.055021217</v>
      </c>
      <c r="D21" s="14" t="n">
        <v>156501.746724891</v>
      </c>
      <c r="E21" s="14" t="n">
        <v>201876.093294461</v>
      </c>
      <c r="F21" s="14" t="n">
        <v>255440.367201166</v>
      </c>
    </row>
    <row r="22" customFormat="false" ht="15" hidden="false" customHeight="false" outlineLevel="0" collapsed="false">
      <c r="A22" s="15" t="s">
        <v>390</v>
      </c>
      <c r="B22" s="14" t="n">
        <v>144351.908714286</v>
      </c>
      <c r="C22" s="14" t="n">
        <v>196161.238330976</v>
      </c>
      <c r="D22" s="14" t="n">
        <v>259803.639010189</v>
      </c>
      <c r="E22" s="14" t="n">
        <v>404743.148688047</v>
      </c>
      <c r="F22" s="14" t="n">
        <v>580192.346209913</v>
      </c>
    </row>
    <row r="23" customFormat="false" ht="15" hidden="false" customHeight="false" outlineLevel="0" collapsed="false">
      <c r="A23" s="10" t="s">
        <v>391</v>
      </c>
      <c r="B23" s="14" t="n">
        <v>27981.8361428571</v>
      </c>
      <c r="C23" s="14" t="n">
        <v>24430.6441301273</v>
      </c>
      <c r="D23" s="14" t="n">
        <v>69985.5895196507</v>
      </c>
      <c r="E23" s="14" t="n">
        <v>86271.4285714286</v>
      </c>
      <c r="F23" s="14" t="n">
        <v>190101.319387755</v>
      </c>
    </row>
    <row r="24" customFormat="false" ht="15" hidden="false" customHeight="false" outlineLevel="0" collapsed="false">
      <c r="A24" s="10" t="s">
        <v>392</v>
      </c>
      <c r="B24" s="16" t="n">
        <v>1521119.99768714</v>
      </c>
      <c r="C24" s="16" t="n">
        <v>2181546.88302688</v>
      </c>
      <c r="D24" s="16" t="n">
        <v>2897161.5720524</v>
      </c>
      <c r="E24" s="16" t="n">
        <v>3780728.87755102</v>
      </c>
      <c r="F24" s="16" t="n">
        <v>4507116.30247959</v>
      </c>
    </row>
    <row r="26" customFormat="false" ht="15" hidden="false" customHeight="false" outlineLevel="0" collapsed="false">
      <c r="A26" s="10" t="s">
        <v>393</v>
      </c>
    </row>
    <row r="27" customFormat="false" ht="15" hidden="false" customHeight="false" outlineLevel="0" collapsed="false">
      <c r="A27" s="12" t="s">
        <v>394</v>
      </c>
      <c r="B27" s="12" t="n">
        <v>2010</v>
      </c>
      <c r="C27" s="12" t="n">
        <v>2011</v>
      </c>
      <c r="D27" s="12" t="n">
        <v>2012</v>
      </c>
      <c r="E27" s="12" t="n">
        <v>2013</v>
      </c>
      <c r="F27" s="12" t="n">
        <v>2014</v>
      </c>
    </row>
    <row r="28" customFormat="false" ht="15" hidden="false" customHeight="false" outlineLevel="0" collapsed="false">
      <c r="A28" s="10" t="s">
        <v>395</v>
      </c>
      <c r="B28" s="14" t="n">
        <v>1012471.19189286</v>
      </c>
      <c r="C28" s="14" t="n">
        <v>1507170.45091938</v>
      </c>
      <c r="D28" s="14" t="n">
        <v>2109168.26783115</v>
      </c>
      <c r="E28" s="14" t="n">
        <v>3098006.23906706</v>
      </c>
      <c r="F28" s="14" t="n">
        <v>3831775.65597668</v>
      </c>
    </row>
    <row r="29" customFormat="false" ht="15" hidden="false" customHeight="false" outlineLevel="0" collapsed="false">
      <c r="A29" s="15" t="s">
        <v>396</v>
      </c>
      <c r="B29" s="14" t="n">
        <v>220194.44886</v>
      </c>
      <c r="C29" s="14" t="n">
        <v>301619.477793494</v>
      </c>
      <c r="D29" s="14" t="n">
        <v>426843.813682678</v>
      </c>
      <c r="E29" s="14" t="n">
        <v>531777.113702624</v>
      </c>
      <c r="F29" s="14" t="n">
        <v>790700.29154519</v>
      </c>
    </row>
    <row r="30" customFormat="false" ht="15" hidden="false" customHeight="false" outlineLevel="0" collapsed="false">
      <c r="A30" s="15" t="s">
        <v>397</v>
      </c>
      <c r="B30" s="14" t="n">
        <v>185841.981762857</v>
      </c>
      <c r="C30" s="14" t="n">
        <v>261554.539603959</v>
      </c>
      <c r="D30" s="14" t="n">
        <v>367689.22852984</v>
      </c>
      <c r="E30" s="14" t="n">
        <v>949602.040816327</v>
      </c>
      <c r="F30" s="14" t="n">
        <v>631627.696793003</v>
      </c>
    </row>
    <row r="31" customFormat="false" ht="15" hidden="false" customHeight="false" outlineLevel="0" collapsed="false">
      <c r="A31" s="15" t="s">
        <v>398</v>
      </c>
      <c r="B31" s="14" t="n">
        <v>247606.01428</v>
      </c>
      <c r="C31" s="14" t="n">
        <v>492859.486562943</v>
      </c>
      <c r="D31" s="14" t="n">
        <v>707690.684133916</v>
      </c>
      <c r="E31" s="14" t="n">
        <v>1953.20699708455</v>
      </c>
      <c r="F31" s="14" t="n">
        <v>1181968.51311953</v>
      </c>
    </row>
    <row r="32" customFormat="false" ht="15" hidden="false" customHeight="false" outlineLevel="0" collapsed="false">
      <c r="A32" s="10" t="s">
        <v>399</v>
      </c>
      <c r="B32" s="14" t="n">
        <v>508648.805794286</v>
      </c>
      <c r="C32" s="14" t="n">
        <v>674376.432107496</v>
      </c>
      <c r="D32" s="14" t="n">
        <v>787993.449781659</v>
      </c>
      <c r="E32" s="14" t="n">
        <v>682722.594752187</v>
      </c>
      <c r="F32" s="14" t="n">
        <v>675340.670553936</v>
      </c>
    </row>
    <row r="33" customFormat="false" ht="15" hidden="false" customHeight="false" outlineLevel="0" collapsed="false">
      <c r="A33" s="15" t="s">
        <v>400</v>
      </c>
      <c r="B33" s="14" t="n">
        <v>376578.079731429</v>
      </c>
      <c r="C33" s="14" t="n">
        <v>523628.960254597</v>
      </c>
      <c r="D33" s="14" t="n">
        <v>633428.238719068</v>
      </c>
      <c r="E33" s="14" t="n">
        <v>557265.597667638</v>
      </c>
      <c r="F33" s="14" t="n">
        <v>552003.790087464</v>
      </c>
    </row>
    <row r="34" customFormat="false" ht="15" hidden="false" customHeight="false" outlineLevel="0" collapsed="false">
      <c r="A34" s="15" t="s">
        <v>401</v>
      </c>
      <c r="B34" s="14" t="n">
        <v>132070.726062857</v>
      </c>
      <c r="C34" s="14" t="n">
        <v>150747.471852899</v>
      </c>
      <c r="D34" s="14" t="n">
        <v>154565.211062591</v>
      </c>
      <c r="E34" s="14" t="n">
        <v>125456.997084548</v>
      </c>
      <c r="F34" s="14" t="n">
        <v>123336.880466472</v>
      </c>
    </row>
    <row r="35" customFormat="false" ht="15" hidden="false" customHeight="false" outlineLevel="0" collapsed="false">
      <c r="A35" s="10" t="s">
        <v>392</v>
      </c>
      <c r="B35" s="16" t="n">
        <v>1521119.99768714</v>
      </c>
      <c r="C35" s="16" t="n">
        <v>2181546.88302687</v>
      </c>
      <c r="D35" s="16" t="n">
        <v>2897161.71761281</v>
      </c>
      <c r="E35" s="16" t="n">
        <v>3780728.83381924</v>
      </c>
      <c r="F35" s="16" t="n">
        <v>4507116.32653061</v>
      </c>
    </row>
    <row r="37" customFormat="false" ht="42" hidden="false" customHeight="true" outlineLevel="0" collapsed="false">
      <c r="A37" s="5" t="s">
        <v>402</v>
      </c>
      <c r="B37" s="5"/>
      <c r="C37" s="5"/>
      <c r="D37" s="5"/>
      <c r="E37" s="5"/>
      <c r="F37" s="5"/>
    </row>
  </sheetData>
  <mergeCells count="1">
    <mergeCell ref="A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6" min="2" style="0" width="15"/>
  </cols>
  <sheetData>
    <row r="1" customFormat="false" ht="15" hidden="false" customHeight="false" outlineLevel="0" collapsed="false">
      <c r="A1" s="1" t="s">
        <v>403</v>
      </c>
      <c r="B1" s="1"/>
      <c r="C1" s="1"/>
      <c r="D1" s="1"/>
      <c r="E1" s="1"/>
      <c r="F1" s="1"/>
      <c r="G1" s="1"/>
    </row>
    <row r="3" customFormat="false" ht="57.75" hidden="false" customHeight="true" outlineLevel="0" collapsed="false">
      <c r="A3" s="17" t="s">
        <v>404</v>
      </c>
      <c r="B3" s="17"/>
      <c r="C3" s="17"/>
      <c r="D3" s="17"/>
      <c r="E3" s="17"/>
      <c r="F3" s="17"/>
      <c r="G3" s="17"/>
    </row>
    <row r="5" customFormat="false" ht="15" hidden="false" customHeight="false" outlineLevel="0" collapsed="false">
      <c r="A5" s="12" t="s">
        <v>405</v>
      </c>
      <c r="B5" s="12" t="n">
        <v>2010</v>
      </c>
      <c r="C5" s="12" t="n">
        <v>2011</v>
      </c>
      <c r="D5" s="12" t="n">
        <v>2012</v>
      </c>
      <c r="E5" s="12" t="n">
        <v>2013</v>
      </c>
      <c r="F5" s="12" t="n">
        <v>2014</v>
      </c>
    </row>
    <row r="6" customFormat="false" ht="15" hidden="false" customHeight="false" outlineLevel="0" collapsed="false">
      <c r="A6" s="10" t="s">
        <v>406</v>
      </c>
      <c r="B6" s="18" t="n">
        <f aca="false">AVERAGE(B29:B40)</f>
        <v>7.06583333333333</v>
      </c>
      <c r="C6" s="18" t="n">
        <f aca="false">AVERAGE(D29:D40)</f>
        <v>6.9875</v>
      </c>
      <c r="D6" s="19" t="n">
        <v>6.96</v>
      </c>
      <c r="E6" s="19" t="n">
        <v>6.96</v>
      </c>
      <c r="F6" s="19" t="n">
        <v>6.96</v>
      </c>
    </row>
    <row r="7" customFormat="false" ht="15" hidden="false" customHeight="false" outlineLevel="0" collapsed="false">
      <c r="A7" s="10" t="s">
        <v>407</v>
      </c>
      <c r="B7" s="18" t="n">
        <f aca="false">AVERAGE(B45:B56)</f>
        <v>6.96666666666667</v>
      </c>
      <c r="C7" s="18" t="n">
        <f aca="false">AVERAGE(C45:C56)</f>
        <v>6.885</v>
      </c>
      <c r="D7" s="18" t="n">
        <f aca="false">AVERAGE(D45:D56)</f>
        <v>6.86</v>
      </c>
      <c r="E7" s="18" t="n">
        <f aca="false">AVERAGE(E45:E56)</f>
        <v>6.86</v>
      </c>
      <c r="F7" s="18" t="n">
        <f aca="false">AVERAGE(F45:F56)</f>
        <v>6.86</v>
      </c>
    </row>
    <row r="8" customFormat="false" ht="54.75" hidden="false" customHeight="true" outlineLevel="0" collapsed="false">
      <c r="A8" s="20" t="s">
        <v>408</v>
      </c>
      <c r="B8" s="20"/>
      <c r="C8" s="20"/>
      <c r="D8" s="20"/>
      <c r="E8" s="20"/>
      <c r="F8" s="20"/>
      <c r="G8" s="20"/>
    </row>
    <row r="11" customFormat="false" ht="15" hidden="false" customHeight="false" outlineLevel="0" collapsed="false">
      <c r="A11" s="10" t="s">
        <v>409</v>
      </c>
      <c r="B11" s="21" t="n">
        <f aca="false">04_Inversion_Publica_VIPFE!B24</f>
        <v>1521119.99768714</v>
      </c>
      <c r="C11" s="21" t="n">
        <f aca="false">04_Inversion_Publica_VIPFE!C24</f>
        <v>2181546.88302688</v>
      </c>
      <c r="D11" s="21" t="n">
        <f aca="false">04_Inversion_Publica_VIPFE!D24</f>
        <v>2897161.5720524</v>
      </c>
      <c r="E11" s="21" t="n">
        <f aca="false">04_Inversion_Publica_VIPFE!E24</f>
        <v>3780728.87755102</v>
      </c>
      <c r="F11" s="21" t="n">
        <f aca="false">04_Inversion_Publica_VIPFE!F24</f>
        <v>4507116.30247959</v>
      </c>
    </row>
    <row r="13" customFormat="false" ht="15" hidden="false" customHeight="false" outlineLevel="0" collapsed="false">
      <c r="A13" s="10" t="s">
        <v>410</v>
      </c>
      <c r="B13" s="21" t="n">
        <f aca="false">B11*B6</f>
        <v>10747980.3836577</v>
      </c>
      <c r="C13" s="21" t="n">
        <f aca="false">C11*C6</f>
        <v>15243558.8451503</v>
      </c>
      <c r="D13" s="21" t="n">
        <f aca="false">D11*D6</f>
        <v>20164244.5414847</v>
      </c>
      <c r="E13" s="21" t="n">
        <f aca="false">E11*E6</f>
        <v>26313872.9877551</v>
      </c>
      <c r="F13" s="21" t="n">
        <f aca="false">F11*F6</f>
        <v>31369529.4652579</v>
      </c>
    </row>
    <row r="14" customFormat="false" ht="15" hidden="false" customHeight="false" outlineLevel="0" collapsed="false">
      <c r="A14" s="10" t="s">
        <v>411</v>
      </c>
      <c r="B14" s="21" t="n">
        <f aca="false">B11*B7</f>
        <v>10597135.9838871</v>
      </c>
      <c r="C14" s="21" t="n">
        <f aca="false">C11*C7</f>
        <v>15019950.2896401</v>
      </c>
      <c r="D14" s="21" t="n">
        <f aca="false">D11*D7</f>
        <v>19874528.3842795</v>
      </c>
      <c r="E14" s="21" t="n">
        <f aca="false">E11*E7</f>
        <v>25935800.1</v>
      </c>
      <c r="F14" s="21" t="n">
        <f aca="false">F11*F7</f>
        <v>30918817.83501</v>
      </c>
    </row>
    <row r="16" customFormat="false" ht="15" hidden="false" customHeight="false" outlineLevel="0" collapsed="false">
      <c r="A16" s="10" t="s">
        <v>412</v>
      </c>
      <c r="B16" s="21" t="n">
        <f aca="false">03_PIB_Gasto_Trimestral!E30+03_PIB_Gasto_Trimestral!E31+03_PIB_Gasto_Trimestral!E32+03_PIB_Gasto_Trimestral!E33</f>
        <v>22849077.3656489</v>
      </c>
      <c r="C16" s="21" t="n">
        <f aca="false">03_PIB_Gasto_Trimestral!E34+03_PIB_Gasto_Trimestral!E35+03_PIB_Gasto_Trimestral!E36+03_PIB_Gasto_Trimestral!E37</f>
        <v>31526855.916541</v>
      </c>
      <c r="D16" s="21" t="n">
        <f aca="false">03_PIB_Gasto_Trimestral!E38+03_PIB_Gasto_Trimestral!E39+03_PIB_Gasto_Trimestral!E40+03_PIB_Gasto_Trimestral!E41</f>
        <v>34366836.8244624</v>
      </c>
      <c r="E16" s="21" t="n">
        <f aca="false">03_PIB_Gasto_Trimestral!E42+03_PIB_Gasto_Trimestral!E43+03_PIB_Gasto_Trimestral!E44+03_PIB_Gasto_Trimestral!E45</f>
        <v>40379932.9953413</v>
      </c>
      <c r="F16" s="21" t="n">
        <f aca="false">03_PIB_Gasto_Trimestral!E46+03_PIB_Gasto_Trimestral!E47+03_PIB_Gasto_Trimestral!E48+03_PIB_Gasto_Trimestral!E49</f>
        <v>47839840.871531</v>
      </c>
    </row>
    <row r="18" customFormat="false" ht="15" hidden="false" customHeight="false" outlineLevel="0" collapsed="false">
      <c r="A18" s="10" t="s">
        <v>413</v>
      </c>
      <c r="B18" s="21" t="n">
        <f aca="false">B16-B13</f>
        <v>12101096.9819912</v>
      </c>
      <c r="C18" s="21" t="n">
        <f aca="false">C16-C13</f>
        <v>16283297.0713907</v>
      </c>
      <c r="D18" s="21" t="n">
        <f aca="false">D16-D13</f>
        <v>14202592.2829777</v>
      </c>
      <c r="E18" s="21" t="n">
        <f aca="false">E16-E13</f>
        <v>14066060.0075862</v>
      </c>
      <c r="F18" s="21" t="n">
        <f aca="false">F16-F13</f>
        <v>16470311.4062731</v>
      </c>
    </row>
    <row r="19" customFormat="false" ht="15" hidden="false" customHeight="false" outlineLevel="0" collapsed="false">
      <c r="A19" s="10" t="s">
        <v>414</v>
      </c>
      <c r="B19" s="21" t="n">
        <f aca="false">B16-B14</f>
        <v>12251941.3817618</v>
      </c>
      <c r="C19" s="21" t="n">
        <f aca="false">C16-C14</f>
        <v>16506905.6269009</v>
      </c>
      <c r="D19" s="21" t="n">
        <f aca="false">D16-D14</f>
        <v>14492308.440183</v>
      </c>
      <c r="E19" s="21" t="n">
        <f aca="false">E16-E14</f>
        <v>14444132.8953413</v>
      </c>
      <c r="F19" s="21" t="n">
        <f aca="false">F16-F14</f>
        <v>16921023.036521</v>
      </c>
    </row>
    <row r="21" customFormat="false" ht="42" hidden="false" customHeight="true" outlineLevel="0" collapsed="false">
      <c r="A21" s="20" t="s">
        <v>415</v>
      </c>
      <c r="B21" s="20"/>
      <c r="C21" s="20"/>
      <c r="D21" s="20"/>
      <c r="E21" s="20"/>
      <c r="F21" s="20"/>
      <c r="G21" s="20"/>
    </row>
    <row r="24" customFormat="false" ht="15" hidden="false" customHeight="false" outlineLevel="0" collapsed="false">
      <c r="A24" s="10" t="s">
        <v>416</v>
      </c>
      <c r="B24" s="21" t="n">
        <f aca="false">04_Inversion_Publica_VIPFE!B29</f>
        <v>220194.44886</v>
      </c>
      <c r="C24" s="21" t="n">
        <f aca="false">04_Inversion_Publica_VIPFE!C29</f>
        <v>301619.477793494</v>
      </c>
      <c r="D24" s="21" t="n">
        <f aca="false">04_Inversion_Publica_VIPFE!D29</f>
        <v>426843.813682678</v>
      </c>
      <c r="E24" s="21" t="n">
        <f aca="false">04_Inversion_Publica_VIPFE!E29</f>
        <v>531777.113702624</v>
      </c>
      <c r="F24" s="21" t="n">
        <f aca="false">04_Inversion_Publica_VIPFE!F29</f>
        <v>790700.29154519</v>
      </c>
    </row>
    <row r="27" customFormat="false" ht="15" hidden="false" customHeight="false" outlineLevel="0" collapsed="false">
      <c r="A27" s="10" t="s">
        <v>417</v>
      </c>
    </row>
    <row r="28" customFormat="false" ht="15" hidden="false" customHeight="false" outlineLevel="0" collapsed="false">
      <c r="A28" s="12" t="s">
        <v>418</v>
      </c>
      <c r="B28" s="12" t="s">
        <v>419</v>
      </c>
      <c r="C28" s="12" t="s">
        <v>420</v>
      </c>
      <c r="D28" s="12" t="s">
        <v>421</v>
      </c>
      <c r="E28" s="12" t="s">
        <v>422</v>
      </c>
    </row>
    <row r="29" customFormat="false" ht="15" hidden="false" customHeight="false" outlineLevel="0" collapsed="false">
      <c r="A29" s="22" t="s">
        <v>423</v>
      </c>
      <c r="B29" s="23" t="n">
        <v>7.07</v>
      </c>
      <c r="C29" s="23" t="n">
        <v>6.97</v>
      </c>
      <c r="D29" s="23" t="n">
        <v>7.04</v>
      </c>
      <c r="E29" s="23" t="n">
        <v>6.94</v>
      </c>
    </row>
    <row r="30" customFormat="false" ht="15" hidden="false" customHeight="false" outlineLevel="0" collapsed="false">
      <c r="A30" s="22" t="s">
        <v>424</v>
      </c>
      <c r="B30" s="23" t="n">
        <v>7.07</v>
      </c>
      <c r="C30" s="23" t="n">
        <v>6.97</v>
      </c>
      <c r="D30" s="23" t="n">
        <v>7.03</v>
      </c>
      <c r="E30" s="23" t="n">
        <v>6.93</v>
      </c>
    </row>
    <row r="31" customFormat="false" ht="15" hidden="false" customHeight="false" outlineLevel="0" collapsed="false">
      <c r="A31" s="22" t="s">
        <v>425</v>
      </c>
      <c r="B31" s="23" t="n">
        <v>7.07</v>
      </c>
      <c r="C31" s="23" t="n">
        <v>6.97</v>
      </c>
      <c r="D31" s="23" t="n">
        <v>7.01</v>
      </c>
      <c r="E31" s="23" t="n">
        <v>6.91</v>
      </c>
    </row>
    <row r="32" customFormat="false" ht="15" hidden="false" customHeight="false" outlineLevel="0" collapsed="false">
      <c r="A32" s="22" t="s">
        <v>426</v>
      </c>
      <c r="B32" s="23" t="n">
        <v>7.07</v>
      </c>
      <c r="C32" s="23" t="n">
        <v>6.97</v>
      </c>
      <c r="D32" s="23" t="n">
        <v>6.99</v>
      </c>
      <c r="E32" s="23" t="n">
        <v>6.89</v>
      </c>
    </row>
    <row r="33" customFormat="false" ht="15" hidden="false" customHeight="false" outlineLevel="0" collapsed="false">
      <c r="A33" s="22" t="s">
        <v>427</v>
      </c>
      <c r="B33" s="23" t="n">
        <v>7.07</v>
      </c>
      <c r="C33" s="23" t="n">
        <v>6.97</v>
      </c>
      <c r="D33" s="23" t="n">
        <v>6.99</v>
      </c>
      <c r="E33" s="23" t="n">
        <v>6.89</v>
      </c>
    </row>
    <row r="34" customFormat="false" ht="15" hidden="false" customHeight="false" outlineLevel="0" collapsed="false">
      <c r="A34" s="22" t="s">
        <v>428</v>
      </c>
      <c r="B34" s="23" t="n">
        <v>7.07</v>
      </c>
      <c r="C34" s="23" t="n">
        <v>6.97</v>
      </c>
      <c r="D34" s="23" t="n">
        <v>6.98</v>
      </c>
      <c r="E34" s="23" t="n">
        <v>6.88</v>
      </c>
    </row>
    <row r="35" customFormat="false" ht="15" hidden="false" customHeight="false" outlineLevel="0" collapsed="false">
      <c r="A35" s="22" t="s">
        <v>429</v>
      </c>
      <c r="B35" s="23" t="n">
        <v>7.07</v>
      </c>
      <c r="C35" s="23" t="n">
        <v>6.97</v>
      </c>
      <c r="D35" s="23" t="n">
        <v>6.98</v>
      </c>
      <c r="E35" s="23" t="n">
        <v>6.88</v>
      </c>
    </row>
    <row r="36" customFormat="false" ht="15" hidden="false" customHeight="false" outlineLevel="0" collapsed="false">
      <c r="A36" s="22" t="s">
        <v>430</v>
      </c>
      <c r="B36" s="23" t="n">
        <v>7.07</v>
      </c>
      <c r="C36" s="23" t="n">
        <v>6.97</v>
      </c>
      <c r="D36" s="23" t="n">
        <v>6.97</v>
      </c>
      <c r="E36" s="23" t="n">
        <v>6.87</v>
      </c>
    </row>
    <row r="37" customFormat="false" ht="15" hidden="false" customHeight="false" outlineLevel="0" collapsed="false">
      <c r="A37" s="22" t="s">
        <v>431</v>
      </c>
      <c r="B37" s="23" t="n">
        <v>7.07</v>
      </c>
      <c r="C37" s="23" t="n">
        <v>6.97</v>
      </c>
      <c r="D37" s="23" t="n">
        <v>6.97</v>
      </c>
      <c r="E37" s="23" t="n">
        <v>6.87</v>
      </c>
    </row>
    <row r="38" customFormat="false" ht="15" hidden="false" customHeight="false" outlineLevel="0" collapsed="false">
      <c r="A38" s="22" t="s">
        <v>432</v>
      </c>
      <c r="B38" s="23" t="n">
        <v>7.07</v>
      </c>
      <c r="C38" s="23" t="n">
        <v>6.97</v>
      </c>
      <c r="D38" s="23" t="n">
        <v>6.97</v>
      </c>
      <c r="E38" s="23" t="n">
        <v>6.87</v>
      </c>
    </row>
    <row r="39" customFormat="false" ht="15" hidden="false" customHeight="false" outlineLevel="0" collapsed="false">
      <c r="A39" s="22" t="s">
        <v>433</v>
      </c>
      <c r="B39" s="23" t="n">
        <v>7.05</v>
      </c>
      <c r="C39" s="23" t="n">
        <v>6.95</v>
      </c>
      <c r="D39" s="23" t="n">
        <v>6.96</v>
      </c>
      <c r="E39" s="23" t="n">
        <v>6.86</v>
      </c>
    </row>
    <row r="40" customFormat="false" ht="15" hidden="false" customHeight="false" outlineLevel="0" collapsed="false">
      <c r="A40" s="22" t="s">
        <v>434</v>
      </c>
      <c r="B40" s="23" t="n">
        <v>7.04</v>
      </c>
      <c r="C40" s="23" t="n">
        <v>6.94</v>
      </c>
      <c r="D40" s="23" t="n">
        <v>6.96</v>
      </c>
      <c r="E40" s="23" t="n">
        <v>6.86</v>
      </c>
    </row>
    <row r="41" customFormat="false" ht="39.75" hidden="false" customHeight="true" outlineLevel="0" collapsed="false">
      <c r="A41" s="5" t="s">
        <v>435</v>
      </c>
      <c r="B41" s="5"/>
      <c r="C41" s="5"/>
      <c r="D41" s="5"/>
      <c r="E41" s="5"/>
    </row>
    <row r="43" customFormat="false" ht="15" hidden="false" customHeight="false" outlineLevel="0" collapsed="false">
      <c r="A43" s="10" t="s">
        <v>436</v>
      </c>
    </row>
    <row r="44" customFormat="false" ht="15" hidden="false" customHeight="false" outlineLevel="0" collapsed="false">
      <c r="A44" s="12" t="s">
        <v>418</v>
      </c>
      <c r="B44" s="12" t="s">
        <v>437</v>
      </c>
      <c r="C44" s="12" t="s">
        <v>438</v>
      </c>
      <c r="D44" s="12" t="s">
        <v>439</v>
      </c>
      <c r="E44" s="12" t="s">
        <v>440</v>
      </c>
      <c r="F44" s="12" t="s">
        <v>441</v>
      </c>
    </row>
    <row r="45" customFormat="false" ht="15" hidden="false" customHeight="false" outlineLevel="0" collapsed="false">
      <c r="A45" s="22" t="s">
        <v>423</v>
      </c>
      <c r="B45" s="23" t="n">
        <v>6.97</v>
      </c>
      <c r="C45" s="23" t="n">
        <v>6.94</v>
      </c>
      <c r="D45" s="23" t="n">
        <v>6.86</v>
      </c>
      <c r="E45" s="23" t="n">
        <v>6.86</v>
      </c>
      <c r="F45" s="23" t="n">
        <v>6.86</v>
      </c>
    </row>
    <row r="46" customFormat="false" ht="15" hidden="false" customHeight="false" outlineLevel="0" collapsed="false">
      <c r="A46" s="22" t="s">
        <v>424</v>
      </c>
      <c r="B46" s="23" t="n">
        <v>6.97</v>
      </c>
      <c r="C46" s="23" t="n">
        <v>6.92</v>
      </c>
      <c r="D46" s="23" t="n">
        <v>6.86</v>
      </c>
      <c r="E46" s="23" t="n">
        <v>6.86</v>
      </c>
      <c r="F46" s="23" t="n">
        <v>6.86</v>
      </c>
    </row>
    <row r="47" customFormat="false" ht="15" hidden="false" customHeight="false" outlineLevel="0" collapsed="false">
      <c r="A47" s="22" t="s">
        <v>425</v>
      </c>
      <c r="B47" s="23" t="n">
        <v>6.97</v>
      </c>
      <c r="C47" s="23" t="n">
        <v>6.9</v>
      </c>
      <c r="D47" s="23" t="n">
        <v>6.86</v>
      </c>
      <c r="E47" s="23" t="n">
        <v>6.86</v>
      </c>
      <c r="F47" s="23" t="n">
        <v>6.86</v>
      </c>
    </row>
    <row r="48" customFormat="false" ht="15" hidden="false" customHeight="false" outlineLevel="0" collapsed="false">
      <c r="A48" s="22" t="s">
        <v>426</v>
      </c>
      <c r="B48" s="23" t="n">
        <v>6.97</v>
      </c>
      <c r="C48" s="23" t="n">
        <v>6.89</v>
      </c>
      <c r="D48" s="23" t="n">
        <v>6.86</v>
      </c>
      <c r="E48" s="23" t="n">
        <v>6.86</v>
      </c>
      <c r="F48" s="23" t="n">
        <v>6.86</v>
      </c>
    </row>
    <row r="49" customFormat="false" ht="15" hidden="false" customHeight="false" outlineLevel="0" collapsed="false">
      <c r="A49" s="22" t="s">
        <v>427</v>
      </c>
      <c r="B49" s="23" t="n">
        <v>6.97</v>
      </c>
      <c r="C49" s="23" t="n">
        <v>6.89</v>
      </c>
      <c r="D49" s="23" t="n">
        <v>6.86</v>
      </c>
      <c r="E49" s="23" t="n">
        <v>6.86</v>
      </c>
      <c r="F49" s="23" t="n">
        <v>6.86</v>
      </c>
    </row>
    <row r="50" customFormat="false" ht="15" hidden="false" customHeight="false" outlineLevel="0" collapsed="false">
      <c r="A50" s="22" t="s">
        <v>428</v>
      </c>
      <c r="B50" s="23" t="n">
        <v>6.97</v>
      </c>
      <c r="C50" s="23" t="n">
        <v>6.88</v>
      </c>
      <c r="D50" s="23" t="n">
        <v>6.86</v>
      </c>
      <c r="E50" s="23" t="n">
        <v>6.86</v>
      </c>
      <c r="F50" s="23" t="n">
        <v>6.86</v>
      </c>
    </row>
    <row r="51" customFormat="false" ht="15" hidden="false" customHeight="false" outlineLevel="0" collapsed="false">
      <c r="A51" s="22" t="s">
        <v>429</v>
      </c>
      <c r="B51" s="23" t="n">
        <v>6.97</v>
      </c>
      <c r="C51" s="23" t="n">
        <v>6.87</v>
      </c>
      <c r="D51" s="23" t="n">
        <v>6.86</v>
      </c>
      <c r="E51" s="23" t="n">
        <v>6.86</v>
      </c>
      <c r="F51" s="23" t="n">
        <v>6.86</v>
      </c>
    </row>
    <row r="52" customFormat="false" ht="15" hidden="false" customHeight="false" outlineLevel="0" collapsed="false">
      <c r="A52" s="22" t="s">
        <v>430</v>
      </c>
      <c r="B52" s="23" t="n">
        <v>6.97</v>
      </c>
      <c r="C52" s="23" t="n">
        <v>6.87</v>
      </c>
      <c r="D52" s="23" t="n">
        <v>6.86</v>
      </c>
      <c r="E52" s="23" t="n">
        <v>6.86</v>
      </c>
      <c r="F52" s="23" t="n">
        <v>6.86</v>
      </c>
    </row>
    <row r="53" customFormat="false" ht="15" hidden="false" customHeight="false" outlineLevel="0" collapsed="false">
      <c r="A53" s="22" t="s">
        <v>431</v>
      </c>
      <c r="B53" s="23" t="n">
        <v>6.97</v>
      </c>
      <c r="C53" s="23" t="n">
        <v>6.87</v>
      </c>
      <c r="D53" s="23" t="n">
        <v>6.86</v>
      </c>
      <c r="E53" s="23" t="n">
        <v>6.86</v>
      </c>
      <c r="F53" s="23" t="n">
        <v>6.86</v>
      </c>
    </row>
    <row r="54" customFormat="false" ht="15" hidden="false" customHeight="false" outlineLevel="0" collapsed="false">
      <c r="A54" s="22" t="s">
        <v>432</v>
      </c>
      <c r="B54" s="23" t="n">
        <v>6.97</v>
      </c>
      <c r="C54" s="23" t="n">
        <v>6.87</v>
      </c>
      <c r="D54" s="23" t="n">
        <v>6.86</v>
      </c>
      <c r="E54" s="23" t="n">
        <v>6.86</v>
      </c>
      <c r="F54" s="23" t="n">
        <v>6.86</v>
      </c>
    </row>
    <row r="55" customFormat="false" ht="15" hidden="false" customHeight="false" outlineLevel="0" collapsed="false">
      <c r="A55" s="22" t="s">
        <v>433</v>
      </c>
      <c r="B55" s="23" t="n">
        <v>6.96</v>
      </c>
      <c r="C55" s="23" t="n">
        <v>6.86</v>
      </c>
      <c r="D55" s="23" t="n">
        <v>6.86</v>
      </c>
      <c r="E55" s="23" t="n">
        <v>6.86</v>
      </c>
      <c r="F55" s="23" t="n">
        <v>6.86</v>
      </c>
    </row>
    <row r="56" customFormat="false" ht="15" hidden="false" customHeight="false" outlineLevel="0" collapsed="false">
      <c r="A56" s="22" t="s">
        <v>434</v>
      </c>
      <c r="B56" s="23" t="n">
        <v>6.94</v>
      </c>
      <c r="C56" s="23" t="n">
        <v>6.86</v>
      </c>
      <c r="D56" s="23" t="n">
        <v>6.86</v>
      </c>
      <c r="E56" s="23" t="n">
        <v>6.86</v>
      </c>
      <c r="F56" s="23" t="n">
        <v>6.86</v>
      </c>
    </row>
    <row r="57" customFormat="false" ht="39.75" hidden="false" customHeight="true" outlineLevel="0" collapsed="false">
      <c r="A57" s="5" t="s">
        <v>442</v>
      </c>
      <c r="B57" s="5"/>
      <c r="C57" s="5"/>
      <c r="D57" s="5"/>
      <c r="E57" s="5"/>
      <c r="F57" s="5"/>
    </row>
  </sheetData>
  <mergeCells count="6">
    <mergeCell ref="A1:G1"/>
    <mergeCell ref="A3:G3"/>
    <mergeCell ref="A8:G8"/>
    <mergeCell ref="A21:G21"/>
    <mergeCell ref="A41:E41"/>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6" min="2" style="0" width="14"/>
  </cols>
  <sheetData>
    <row r="1" customFormat="false" ht="15" hidden="false" customHeight="false" outlineLevel="0" collapsed="false">
      <c r="A1" s="1" t="s">
        <v>443</v>
      </c>
      <c r="B1" s="1"/>
      <c r="C1" s="1"/>
      <c r="D1" s="1"/>
      <c r="E1" s="1"/>
      <c r="F1" s="1"/>
    </row>
    <row r="2" customFormat="false" ht="15" hidden="false" customHeight="false" outlineLevel="0" collapsed="false">
      <c r="A2" s="11" t="s">
        <v>444</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10" t="s">
        <v>445</v>
      </c>
      <c r="B5" s="24" t="n">
        <v>61572.361588</v>
      </c>
      <c r="C5" s="24" t="n">
        <v>75614.56758536</v>
      </c>
      <c r="D5" s="24" t="n">
        <v>87989.99535412</v>
      </c>
      <c r="E5" s="24" t="n">
        <v>103738.754344546</v>
      </c>
      <c r="F5" s="24" t="n">
        <v>117277.51707946</v>
      </c>
    </row>
    <row r="6" customFormat="false" ht="15" hidden="false" customHeight="false" outlineLevel="0" collapsed="false">
      <c r="A6" s="22" t="s">
        <v>446</v>
      </c>
      <c r="B6" s="24" t="n">
        <v>23018.482582</v>
      </c>
      <c r="C6" s="24" t="n">
        <v>29433.478088</v>
      </c>
      <c r="D6" s="24" t="n">
        <v>34198.129155</v>
      </c>
      <c r="E6" s="24" t="n">
        <v>39974.043027</v>
      </c>
      <c r="F6" s="24" t="n">
        <v>45279.36945</v>
      </c>
    </row>
    <row r="7" customFormat="false" ht="15" hidden="false" customHeight="false" outlineLevel="0" collapsed="false">
      <c r="A7" s="22" t="s">
        <v>447</v>
      </c>
      <c r="B7" s="24" t="n">
        <v>20678.551714</v>
      </c>
      <c r="C7" s="24" t="n">
        <v>26144.158602</v>
      </c>
      <c r="D7" s="24" t="n">
        <v>30914.144529</v>
      </c>
      <c r="E7" s="24" t="n">
        <v>36221.296688</v>
      </c>
      <c r="F7" s="24" t="n">
        <v>41024.423168</v>
      </c>
    </row>
    <row r="8" customFormat="false" ht="15" hidden="false" customHeight="false" outlineLevel="0" collapsed="false">
      <c r="A8" s="10" t="s">
        <v>448</v>
      </c>
      <c r="B8" s="24" t="n">
        <v>59256.547996</v>
      </c>
      <c r="C8" s="24" t="n">
        <v>74232.539203</v>
      </c>
      <c r="D8" s="24" t="n">
        <v>84702.0386846306</v>
      </c>
      <c r="E8" s="24" t="n">
        <v>102362.656266277</v>
      </c>
      <c r="F8" s="24" t="n">
        <v>124946.703389283</v>
      </c>
    </row>
    <row r="9" customFormat="false" ht="15" hidden="false" customHeight="false" outlineLevel="0" collapsed="false">
      <c r="A9" s="10" t="s">
        <v>449</v>
      </c>
      <c r="B9" s="24" t="n">
        <v>2315.81359199999</v>
      </c>
      <c r="C9" s="24" t="n">
        <v>1382.02838236</v>
      </c>
      <c r="D9" s="24" t="n">
        <v>3287.95666948939</v>
      </c>
      <c r="E9" s="24" t="n">
        <v>1376.098078269</v>
      </c>
      <c r="F9" s="24" t="n">
        <v>-7669.18630982265</v>
      </c>
    </row>
    <row r="10" customFormat="false" ht="15" hidden="false" customHeight="false" outlineLevel="0" collapsed="false">
      <c r="A10" s="22" t="s">
        <v>450</v>
      </c>
      <c r="B10" s="24" t="n">
        <v>-3730.439972</v>
      </c>
      <c r="C10" s="24" t="n">
        <v>-4347.282353</v>
      </c>
      <c r="D10" s="24" t="n">
        <v>-7630.631055</v>
      </c>
      <c r="E10" s="24" t="n">
        <v>-6644.6031451</v>
      </c>
      <c r="F10" s="24" t="n">
        <v>4596.9099</v>
      </c>
    </row>
    <row r="11" customFormat="false" ht="15" hidden="false" customHeight="false" outlineLevel="0" collapsed="false">
      <c r="A11" s="22" t="s">
        <v>451</v>
      </c>
      <c r="B11" s="24" t="n">
        <v>1414.626458</v>
      </c>
      <c r="C11" s="24" t="n">
        <v>2965.25406928</v>
      </c>
      <c r="D11" s="24" t="n">
        <v>4342.6744566506</v>
      </c>
      <c r="E11" s="24" t="n">
        <v>5268.505059237</v>
      </c>
      <c r="F11" s="24" t="n">
        <v>3072.2764019626</v>
      </c>
    </row>
    <row r="13" customFormat="false" ht="27.75" hidden="false" customHeight="true" outlineLevel="0" collapsed="false">
      <c r="A13" s="5" t="s">
        <v>452</v>
      </c>
      <c r="B13" s="5"/>
      <c r="C13" s="5"/>
      <c r="D13" s="5"/>
      <c r="E13" s="5"/>
      <c r="F13" s="5"/>
    </row>
    <row r="15" customFormat="false" ht="84.75" hidden="false" customHeight="true" outlineLevel="0" collapsed="false">
      <c r="A15" s="17" t="s">
        <v>453</v>
      </c>
      <c r="B15" s="17"/>
      <c r="C15" s="17"/>
      <c r="D15" s="17"/>
      <c r="E15" s="17"/>
      <c r="F15" s="17"/>
    </row>
  </sheetData>
  <mergeCells count="3">
    <mergeCell ref="A1:F1"/>
    <mergeCell ref="A13:F13"/>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4"/>
  </cols>
  <sheetData>
    <row r="1" customFormat="false" ht="15" hidden="false" customHeight="false" outlineLevel="0" collapsed="false">
      <c r="A1" s="1" t="s">
        <v>454</v>
      </c>
      <c r="B1" s="1"/>
      <c r="C1" s="1"/>
      <c r="D1" s="1"/>
      <c r="E1" s="1"/>
      <c r="F1" s="1"/>
    </row>
    <row r="3" customFormat="false" ht="15" hidden="false" customHeight="false" outlineLevel="0" collapsed="false">
      <c r="A3" s="10" t="s">
        <v>455</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10" t="s">
        <v>456</v>
      </c>
      <c r="B5" s="14" t="n">
        <v>30102792.88268</v>
      </c>
      <c r="C5" s="14" t="n">
        <v>39330475.8315227</v>
      </c>
      <c r="D5" s="14" t="n">
        <v>47189125.1827127</v>
      </c>
      <c r="E5" s="14" t="n">
        <v>57033088.3931584</v>
      </c>
      <c r="F5" s="14" t="n">
        <v>61349850.98682</v>
      </c>
    </row>
    <row r="6" customFormat="false" ht="15" hidden="false" customHeight="false" outlineLevel="0" collapsed="false">
      <c r="A6" s="10" t="s">
        <v>457</v>
      </c>
      <c r="B6" s="14" t="n">
        <v>6744308.98372</v>
      </c>
      <c r="C6" s="14" t="n">
        <v>8996054.16774</v>
      </c>
      <c r="D6" s="14" t="n">
        <v>12111151.50966</v>
      </c>
      <c r="E6" s="14" t="n">
        <v>15542589.7594926</v>
      </c>
      <c r="F6" s="14" t="n">
        <v>15601860.80838</v>
      </c>
    </row>
    <row r="8" customFormat="false" ht="94.5" hidden="false" customHeight="true" outlineLevel="0" collapsed="false">
      <c r="A8" s="20" t="s">
        <v>458</v>
      </c>
      <c r="B8" s="20"/>
      <c r="C8" s="20"/>
      <c r="D8" s="20"/>
      <c r="E8" s="20"/>
      <c r="F8" s="20"/>
    </row>
    <row r="11" customFormat="false" ht="15" hidden="false" customHeight="false" outlineLevel="0" collapsed="false">
      <c r="A11" s="10" t="s">
        <v>459</v>
      </c>
    </row>
    <row r="12" customFormat="false" ht="15" hidden="false" customHeight="false" outlineLevel="0" collapsed="false">
      <c r="A12" s="12" t="s">
        <v>405</v>
      </c>
      <c r="B12" s="12" t="n">
        <v>2010</v>
      </c>
      <c r="C12" s="12" t="n">
        <v>2011</v>
      </c>
      <c r="D12" s="12" t="n">
        <v>2012</v>
      </c>
      <c r="E12" s="12" t="n">
        <v>2013</v>
      </c>
      <c r="F12" s="12" t="n">
        <v>2014</v>
      </c>
    </row>
    <row r="13" customFormat="false" ht="15" hidden="false" customHeight="false" outlineLevel="0" collapsed="false">
      <c r="A13" s="10" t="s">
        <v>460</v>
      </c>
      <c r="B13" s="25" t="n">
        <v>4593.67096288486</v>
      </c>
      <c r="C13" s="25" t="n">
        <v>4602.96875433542</v>
      </c>
      <c r="D13" s="25" t="n">
        <v>4812.78673034558</v>
      </c>
      <c r="E13" s="25" t="n">
        <v>4771.86112191997</v>
      </c>
      <c r="F13" s="25" t="n">
        <v>5236.93047822493</v>
      </c>
    </row>
    <row r="14" customFormat="false" ht="15" hidden="false" customHeight="false" outlineLevel="0" collapsed="false">
      <c r="A14" s="15" t="s">
        <v>461</v>
      </c>
      <c r="B14" s="24" t="n">
        <v>1380.19335625565</v>
      </c>
      <c r="C14" s="24" t="n">
        <v>1435.48361424548</v>
      </c>
      <c r="D14" s="24" t="n">
        <v>1419.40017072604</v>
      </c>
      <c r="E14" s="24" t="n">
        <v>1395.85619440977</v>
      </c>
      <c r="F14" s="24" t="n">
        <v>1382.91477882551</v>
      </c>
    </row>
    <row r="15" customFormat="false" ht="15" hidden="false" customHeight="false" outlineLevel="0" collapsed="false">
      <c r="A15" s="15" t="s">
        <v>462</v>
      </c>
      <c r="B15" s="24" t="n">
        <v>3206.44734726321</v>
      </c>
      <c r="C15" s="24" t="n">
        <v>3160.48514008994</v>
      </c>
      <c r="D15" s="24" t="n">
        <v>2874.14862340233</v>
      </c>
      <c r="E15" s="24" t="n">
        <v>2668.43912536443</v>
      </c>
      <c r="F15" s="24" t="n">
        <v>2795.49802623907</v>
      </c>
    </row>
    <row r="17" customFormat="false" ht="15" hidden="false" customHeight="false" outlineLevel="0" collapsed="false">
      <c r="A17" s="5" t="s">
        <v>463</v>
      </c>
      <c r="B17" s="5"/>
      <c r="C17" s="5"/>
      <c r="D17" s="5"/>
      <c r="E17" s="5"/>
      <c r="F17" s="5"/>
    </row>
  </sheetData>
  <mergeCells count="3">
    <mergeCell ref="A1:F1"/>
    <mergeCell ref="A8:F8"/>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12" min="3" style="0" width="16"/>
  </cols>
  <sheetData>
    <row r="1" customFormat="false" ht="15" hidden="false" customHeight="false" outlineLevel="0" collapsed="false">
      <c r="A1" s="1" t="s">
        <v>464</v>
      </c>
      <c r="B1" s="1"/>
      <c r="C1" s="1"/>
      <c r="D1" s="1"/>
      <c r="E1" s="1"/>
      <c r="F1" s="1"/>
      <c r="G1" s="1"/>
      <c r="H1" s="1"/>
      <c r="I1" s="1"/>
      <c r="J1" s="1"/>
      <c r="K1" s="1"/>
      <c r="L1" s="1"/>
      <c r="M1" s="1"/>
      <c r="N1" s="1"/>
    </row>
    <row r="2" customFormat="false" ht="15" hidden="false" customHeight="false" outlineLevel="0" collapsed="false">
      <c r="A2" s="5" t="s">
        <v>465</v>
      </c>
      <c r="B2" s="5"/>
      <c r="C2" s="5"/>
      <c r="D2" s="5"/>
      <c r="E2" s="5"/>
      <c r="F2" s="5"/>
      <c r="G2" s="5"/>
      <c r="H2" s="5"/>
      <c r="I2" s="5"/>
      <c r="J2" s="5"/>
      <c r="K2" s="5"/>
      <c r="L2" s="5"/>
      <c r="M2" s="5"/>
      <c r="N2" s="5"/>
    </row>
    <row r="4" customFormat="false" ht="15" hidden="false" customHeight="false" outlineLevel="0" collapsed="false">
      <c r="A4" s="12" t="s">
        <v>405</v>
      </c>
      <c r="B4" s="12" t="s">
        <v>418</v>
      </c>
      <c r="C4" s="12" t="s">
        <v>466</v>
      </c>
      <c r="D4" s="12" t="s">
        <v>467</v>
      </c>
      <c r="E4" s="12" t="s">
        <v>468</v>
      </c>
      <c r="F4" s="12" t="s">
        <v>469</v>
      </c>
      <c r="G4" s="12" t="s">
        <v>470</v>
      </c>
      <c r="H4" s="12" t="s">
        <v>471</v>
      </c>
      <c r="I4" s="12" t="s">
        <v>472</v>
      </c>
      <c r="J4" s="12" t="s">
        <v>473</v>
      </c>
      <c r="K4" s="12" t="s">
        <v>474</v>
      </c>
      <c r="L4" s="12" t="s">
        <v>475</v>
      </c>
    </row>
    <row r="5" customFormat="false" ht="15" hidden="false" customHeight="false" outlineLevel="0" collapsed="false">
      <c r="A5" s="13" t="n">
        <v>2010</v>
      </c>
      <c r="B5" s="13" t="s">
        <v>476</v>
      </c>
      <c r="C5" s="14" t="n">
        <v>24478799.30672</v>
      </c>
      <c r="D5" s="14" t="n">
        <v>29878586.228</v>
      </c>
      <c r="E5" s="14" t="n">
        <v>36737205.77105</v>
      </c>
      <c r="F5" s="14" t="n">
        <v>52565561.57418</v>
      </c>
      <c r="G5" s="14" t="n">
        <v>45087034.96499</v>
      </c>
      <c r="H5" s="14" t="n">
        <v>75325718.5858158</v>
      </c>
      <c r="I5" s="14" t="n">
        <v>49104573.4684283</v>
      </c>
      <c r="J5" s="14" t="n">
        <v>79365519.0892541</v>
      </c>
      <c r="K5" s="14" t="n">
        <v>31352859.7071031</v>
      </c>
      <c r="L5" s="14" t="n">
        <v>-12046325.5499627</v>
      </c>
    </row>
    <row r="6" customFormat="false" ht="15" hidden="false" customHeight="false" outlineLevel="0" collapsed="false">
      <c r="A6" s="13" t="n">
        <v>2010</v>
      </c>
      <c r="B6" s="13" t="s">
        <v>477</v>
      </c>
      <c r="C6" s="14" t="n">
        <v>24335354.75438</v>
      </c>
      <c r="D6" s="14" t="n">
        <v>29808667.06292</v>
      </c>
      <c r="E6" s="14" t="n">
        <v>36718694.63909</v>
      </c>
      <c r="F6" s="14" t="n">
        <v>52985080.56496</v>
      </c>
      <c r="G6" s="14" t="n">
        <v>45210963.55275</v>
      </c>
      <c r="H6" s="14" t="n">
        <v>75739925.7120858</v>
      </c>
      <c r="I6" s="14" t="n">
        <v>49008510.4240711</v>
      </c>
      <c r="J6" s="14" t="n">
        <v>79562201.5834069</v>
      </c>
      <c r="K6" s="14" t="n">
        <v>31866325.2910835</v>
      </c>
      <c r="L6" s="14" t="n">
        <v>-11898433.159612</v>
      </c>
    </row>
    <row r="7" customFormat="false" ht="15" hidden="false" customHeight="false" outlineLevel="0" collapsed="false">
      <c r="A7" s="13" t="n">
        <v>2010</v>
      </c>
      <c r="B7" s="13" t="s">
        <v>478</v>
      </c>
      <c r="C7" s="14" t="n">
        <v>23935776.49327</v>
      </c>
      <c r="D7" s="14" t="n">
        <v>29739619.14431</v>
      </c>
      <c r="E7" s="14" t="n">
        <v>36413815.77509</v>
      </c>
      <c r="F7" s="14" t="n">
        <v>53168961.84266</v>
      </c>
      <c r="G7" s="14" t="n">
        <v>45017102.54095</v>
      </c>
      <c r="H7" s="14" t="n">
        <v>75801991.1784358</v>
      </c>
      <c r="I7" s="14" t="n">
        <v>48829508.2538611</v>
      </c>
      <c r="J7" s="14" t="n">
        <v>79640519.8913469</v>
      </c>
      <c r="K7" s="14" t="n">
        <v>31734835.4939304</v>
      </c>
      <c r="L7" s="14" t="n">
        <v>-12534189.5896276</v>
      </c>
    </row>
    <row r="8" customFormat="false" ht="15" hidden="false" customHeight="false" outlineLevel="0" collapsed="false">
      <c r="A8" s="13" t="n">
        <v>2010</v>
      </c>
      <c r="B8" s="13" t="s">
        <v>479</v>
      </c>
      <c r="C8" s="14" t="n">
        <v>23333191.17594</v>
      </c>
      <c r="D8" s="14" t="n">
        <v>29250893.76846</v>
      </c>
      <c r="E8" s="14" t="n">
        <v>35757119.91715</v>
      </c>
      <c r="F8" s="14" t="n">
        <v>52653923.14326</v>
      </c>
      <c r="G8" s="14" t="n">
        <v>44590447.78875</v>
      </c>
      <c r="H8" s="14" t="n">
        <v>75489958.0720858</v>
      </c>
      <c r="I8" s="14" t="n">
        <v>48260945.8470899</v>
      </c>
      <c r="J8" s="14" t="n">
        <v>79187276.6904257</v>
      </c>
      <c r="K8" s="14" t="n">
        <v>30157232.2772484</v>
      </c>
      <c r="L8" s="14" t="n">
        <v>-14535737.4689118</v>
      </c>
    </row>
    <row r="9" customFormat="false" ht="15" hidden="false" customHeight="false" outlineLevel="0" collapsed="false">
      <c r="A9" s="13" t="n">
        <v>2010</v>
      </c>
      <c r="B9" s="13" t="s">
        <v>480</v>
      </c>
      <c r="C9" s="14" t="n">
        <v>24512104.75654</v>
      </c>
      <c r="D9" s="14" t="n">
        <v>30168744.83483</v>
      </c>
      <c r="E9" s="14" t="n">
        <v>37012704.67526</v>
      </c>
      <c r="F9" s="14" t="n">
        <v>53583891.15363</v>
      </c>
      <c r="G9" s="14" t="n">
        <v>45925982.19097</v>
      </c>
      <c r="H9" s="14" t="n">
        <v>76400379.1962058</v>
      </c>
      <c r="I9" s="14" t="n">
        <v>49745307.3202161</v>
      </c>
      <c r="J9" s="14" t="n">
        <v>80246525.325452</v>
      </c>
      <c r="K9" s="14" t="n">
        <v>30403324.3946475</v>
      </c>
      <c r="L9" s="14" t="n">
        <v>-14921374.4044622</v>
      </c>
    </row>
    <row r="10" customFormat="false" ht="15" hidden="false" customHeight="false" outlineLevel="0" collapsed="false">
      <c r="A10" s="13" t="n">
        <v>2010</v>
      </c>
      <c r="B10" s="13" t="s">
        <v>481</v>
      </c>
      <c r="C10" s="14" t="n">
        <v>24569067.45202</v>
      </c>
      <c r="D10" s="14" t="n">
        <v>30283664.8097</v>
      </c>
      <c r="E10" s="14" t="n">
        <v>36725697.21745</v>
      </c>
      <c r="F10" s="14" t="n">
        <v>53175173.06816</v>
      </c>
      <c r="G10" s="14" t="n">
        <v>45859443.13319</v>
      </c>
      <c r="H10" s="14" t="n">
        <v>76245807.9868558</v>
      </c>
      <c r="I10" s="14" t="n">
        <v>49246516.419541</v>
      </c>
      <c r="J10" s="14" t="n">
        <v>79659840.8132068</v>
      </c>
      <c r="K10" s="14" t="n">
        <v>29903289.4700333</v>
      </c>
      <c r="L10" s="14" t="n">
        <v>-16051877.8904737</v>
      </c>
    </row>
    <row r="11" customFormat="false" ht="15" hidden="false" customHeight="false" outlineLevel="0" collapsed="false">
      <c r="A11" s="13" t="n">
        <v>2010</v>
      </c>
      <c r="B11" s="13" t="s">
        <v>482</v>
      </c>
      <c r="C11" s="14" t="n">
        <v>24824967.08389</v>
      </c>
      <c r="D11" s="14" t="n">
        <v>30532648.2747</v>
      </c>
      <c r="E11" s="14" t="n">
        <v>36890599.79005</v>
      </c>
      <c r="F11" s="14" t="n">
        <v>53261222.45322</v>
      </c>
      <c r="G11" s="14" t="n">
        <v>46199986.61098</v>
      </c>
      <c r="H11" s="14" t="n">
        <v>76400320.7391717</v>
      </c>
      <c r="I11" s="14" t="n">
        <v>49547858.9169928</v>
      </c>
      <c r="J11" s="14" t="n">
        <v>79775849.4451845</v>
      </c>
      <c r="K11" s="14" t="n">
        <v>28898700.5520431</v>
      </c>
      <c r="L11" s="14" t="n">
        <v>-17451955.8238532</v>
      </c>
    </row>
    <row r="12" customFormat="false" ht="15" hidden="false" customHeight="false" outlineLevel="0" collapsed="false">
      <c r="A12" s="13" t="n">
        <v>2010</v>
      </c>
      <c r="B12" s="13" t="s">
        <v>483</v>
      </c>
      <c r="C12" s="14" t="n">
        <v>24776480.4046</v>
      </c>
      <c r="D12" s="14" t="n">
        <v>30370906.16876</v>
      </c>
      <c r="E12" s="14" t="n">
        <v>37004685.92935</v>
      </c>
      <c r="F12" s="14" t="n">
        <v>53399874.2879</v>
      </c>
      <c r="G12" s="14" t="n">
        <v>46660210.47946</v>
      </c>
      <c r="H12" s="14" t="n">
        <v>76739858.4150417</v>
      </c>
      <c r="I12" s="14" t="n">
        <v>49933409.7850022</v>
      </c>
      <c r="J12" s="14" t="n">
        <v>80040366.2105839</v>
      </c>
      <c r="K12" s="14" t="n">
        <v>28619650.201446</v>
      </c>
      <c r="L12" s="14" t="n">
        <v>-18695844.2465114</v>
      </c>
    </row>
    <row r="13" customFormat="false" ht="15" hidden="false" customHeight="false" outlineLevel="0" collapsed="false">
      <c r="A13" s="13" t="n">
        <v>2010</v>
      </c>
      <c r="B13" s="13" t="s">
        <v>484</v>
      </c>
      <c r="C13" s="14" t="n">
        <v>24862942.7447</v>
      </c>
      <c r="D13" s="14" t="n">
        <v>30638255.55123</v>
      </c>
      <c r="E13" s="14" t="n">
        <v>37213692.65688</v>
      </c>
      <c r="F13" s="14" t="n">
        <v>53931013.5615</v>
      </c>
      <c r="G13" s="14" t="n">
        <v>47591798.71043</v>
      </c>
      <c r="H13" s="14" t="n">
        <v>77909656.5900517</v>
      </c>
      <c r="I13" s="14" t="n">
        <v>50662654.71043</v>
      </c>
      <c r="J13" s="14" t="n">
        <v>81007472.1300517</v>
      </c>
      <c r="K13" s="14" t="n">
        <v>28656142.1542239</v>
      </c>
      <c r="L13" s="14" t="n">
        <v>-19622556.7813572</v>
      </c>
    </row>
    <row r="14" customFormat="false" ht="15" hidden="false" customHeight="false" outlineLevel="0" collapsed="false">
      <c r="A14" s="13" t="n">
        <v>2010</v>
      </c>
      <c r="B14" s="13" t="s">
        <v>485</v>
      </c>
      <c r="C14" s="14" t="n">
        <v>25656465.09708</v>
      </c>
      <c r="D14" s="14" t="n">
        <v>31432455.95224</v>
      </c>
      <c r="E14" s="14" t="n">
        <v>38004663.97844</v>
      </c>
      <c r="F14" s="14" t="n">
        <v>54857240.81415</v>
      </c>
      <c r="G14" s="14" t="n">
        <v>48604681.8941</v>
      </c>
      <c r="H14" s="14" t="n">
        <v>79031253.3443117</v>
      </c>
      <c r="I14" s="14" t="n">
        <v>51612659.753708</v>
      </c>
      <c r="J14" s="14" t="n">
        <v>82066888.1439197</v>
      </c>
      <c r="K14" s="14" t="n">
        <v>28178482.8555808</v>
      </c>
      <c r="L14" s="14" t="n">
        <v>-20206230.8070645</v>
      </c>
    </row>
    <row r="15" customFormat="false" ht="15" hidden="false" customHeight="false" outlineLevel="0" collapsed="false">
      <c r="A15" s="13" t="n">
        <v>2010</v>
      </c>
      <c r="B15" s="13" t="s">
        <v>486</v>
      </c>
      <c r="C15" s="14" t="n">
        <v>26523335.72255</v>
      </c>
      <c r="D15" s="14" t="n">
        <v>32446696.64537</v>
      </c>
      <c r="E15" s="14" t="n">
        <v>39610819.17951</v>
      </c>
      <c r="F15" s="14" t="n">
        <v>56152299.73558</v>
      </c>
      <c r="G15" s="14" t="n">
        <v>50820016.27979</v>
      </c>
      <c r="H15" s="14" t="n">
        <v>80669947.1252356</v>
      </c>
      <c r="I15" s="14" t="n">
        <v>53735194.7901468</v>
      </c>
      <c r="J15" s="14" t="n">
        <v>83588605.7715924</v>
      </c>
      <c r="K15" s="14" t="n">
        <v>28789856.2492723</v>
      </c>
      <c r="L15" s="14" t="n">
        <v>-20380590.8159218</v>
      </c>
    </row>
    <row r="16" customFormat="false" ht="15" hidden="false" customHeight="false" outlineLevel="0" collapsed="false">
      <c r="A16" s="13" t="n">
        <v>2010</v>
      </c>
      <c r="B16" s="13" t="s">
        <v>487</v>
      </c>
      <c r="C16" s="14" t="n">
        <v>31889947.754157</v>
      </c>
      <c r="D16" s="14" t="n">
        <v>37244249.848437</v>
      </c>
      <c r="E16" s="14" t="n">
        <v>45856079.524724</v>
      </c>
      <c r="F16" s="14" t="n">
        <v>59795511.458583</v>
      </c>
      <c r="G16" s="14" t="n">
        <v>57454427.966957</v>
      </c>
      <c r="H16" s="14" t="n">
        <v>84382319.4513254</v>
      </c>
      <c r="I16" s="14" t="n">
        <v>60415124.5432282</v>
      </c>
      <c r="J16" s="14" t="n">
        <v>87345792.0549966</v>
      </c>
      <c r="K16" s="14" t="n">
        <v>32577475.3811407</v>
      </c>
      <c r="L16" s="14" t="n">
        <v>-19033717.0183909</v>
      </c>
    </row>
    <row r="17" customFormat="false" ht="15" hidden="false" customHeight="false" outlineLevel="0" collapsed="false">
      <c r="A17" s="13" t="n">
        <v>2011</v>
      </c>
      <c r="B17" s="13" t="s">
        <v>476</v>
      </c>
      <c r="C17" s="14" t="n">
        <v>30625673.5922005</v>
      </c>
      <c r="D17" s="14" t="n">
        <v>36107670.7504955</v>
      </c>
      <c r="E17" s="14" t="n">
        <v>44485074.809531</v>
      </c>
      <c r="F17" s="14" t="n">
        <v>58687643.0642595</v>
      </c>
      <c r="G17" s="14" t="n">
        <v>56197416.7655755</v>
      </c>
      <c r="H17" s="14" t="n">
        <v>82889439.2198864</v>
      </c>
      <c r="I17" s="14" t="n">
        <v>59285755.9858004</v>
      </c>
      <c r="J17" s="14" t="n">
        <v>85979860.4384013</v>
      </c>
      <c r="K17" s="14" t="n">
        <v>32958579.0744532</v>
      </c>
      <c r="L17" s="14" t="n">
        <v>-20395683.250635</v>
      </c>
    </row>
    <row r="18" customFormat="false" ht="15" hidden="false" customHeight="false" outlineLevel="0" collapsed="false">
      <c r="A18" s="13" t="n">
        <v>2011</v>
      </c>
      <c r="B18" s="13" t="s">
        <v>477</v>
      </c>
      <c r="C18" s="14" t="n">
        <v>30614212.861374</v>
      </c>
      <c r="D18" s="14" t="n">
        <v>36176139.365154</v>
      </c>
      <c r="E18" s="14" t="n">
        <v>44822683.331368</v>
      </c>
      <c r="F18" s="14" t="n">
        <v>59235820.40537</v>
      </c>
      <c r="G18" s="14" t="n">
        <v>56743340.815044</v>
      </c>
      <c r="H18" s="14" t="n">
        <v>83427637.2740612</v>
      </c>
      <c r="I18" s="14" t="n">
        <v>59748006.4350127</v>
      </c>
      <c r="J18" s="14" t="n">
        <v>86435762.9624909</v>
      </c>
      <c r="K18" s="14" t="n">
        <v>32753997.5219224</v>
      </c>
      <c r="L18" s="14" t="n">
        <v>-21398482.9088533</v>
      </c>
    </row>
    <row r="19" customFormat="false" ht="15" hidden="false" customHeight="false" outlineLevel="0" collapsed="false">
      <c r="A19" s="13" t="n">
        <v>2011</v>
      </c>
      <c r="B19" s="13" t="s">
        <v>478</v>
      </c>
      <c r="C19" s="14" t="n">
        <v>30579820.4533175</v>
      </c>
      <c r="D19" s="14" t="n">
        <v>36007887.8588625</v>
      </c>
      <c r="E19" s="14" t="n">
        <v>45088180.412475</v>
      </c>
      <c r="F19" s="14" t="n">
        <v>59541201.5795825</v>
      </c>
      <c r="G19" s="14" t="n">
        <v>57302906.3245025</v>
      </c>
      <c r="H19" s="14" t="n">
        <v>83789583.382918</v>
      </c>
      <c r="I19" s="14" t="n">
        <v>60585032.7113731</v>
      </c>
      <c r="J19" s="14" t="n">
        <v>87075849.7834035</v>
      </c>
      <c r="K19" s="14" t="n">
        <v>33318498.855925</v>
      </c>
      <c r="L19" s="14" t="n">
        <v>-20515376.4377371</v>
      </c>
    </row>
    <row r="20" customFormat="false" ht="15" hidden="false" customHeight="false" outlineLevel="0" collapsed="false">
      <c r="A20" s="13" t="n">
        <v>2011</v>
      </c>
      <c r="B20" s="13" t="s">
        <v>479</v>
      </c>
      <c r="C20" s="14" t="n">
        <v>29954875.936121</v>
      </c>
      <c r="D20" s="14" t="n">
        <v>35705659.998256</v>
      </c>
      <c r="E20" s="14" t="n">
        <v>44291512.435632</v>
      </c>
      <c r="F20" s="14" t="n">
        <v>59122959.015164</v>
      </c>
      <c r="G20" s="14" t="n">
        <v>56677222.556961</v>
      </c>
      <c r="H20" s="14" t="n">
        <v>83340470.7660569</v>
      </c>
      <c r="I20" s="14" t="n">
        <v>60489554.880213</v>
      </c>
      <c r="J20" s="14" t="n">
        <v>87156937.0929238</v>
      </c>
      <c r="K20" s="14" t="n">
        <v>30179544.0534395</v>
      </c>
      <c r="L20" s="14" t="n">
        <v>-22720668.6387671</v>
      </c>
    </row>
    <row r="21" customFormat="false" ht="15" hidden="false" customHeight="false" outlineLevel="0" collapsed="false">
      <c r="A21" s="13" t="n">
        <v>2011</v>
      </c>
      <c r="B21" s="13" t="s">
        <v>480</v>
      </c>
      <c r="C21" s="14" t="n">
        <v>30189594.5967445</v>
      </c>
      <c r="D21" s="14" t="n">
        <v>35823089.207132</v>
      </c>
      <c r="E21" s="14" t="n">
        <v>44633457.365459</v>
      </c>
      <c r="F21" s="14" t="n">
        <v>59524701.501433</v>
      </c>
      <c r="G21" s="14" t="n">
        <v>57346372.4695995</v>
      </c>
      <c r="H21" s="14" t="n">
        <v>83937181.5052704</v>
      </c>
      <c r="I21" s="14" t="n">
        <v>61225931.4254488</v>
      </c>
      <c r="J21" s="14" t="n">
        <v>87820185.5091924</v>
      </c>
      <c r="K21" s="14" t="n">
        <v>29387941.4617327</v>
      </c>
      <c r="L21" s="14" t="n">
        <v>-24039985.2883235</v>
      </c>
    </row>
    <row r="22" customFormat="false" ht="15" hidden="false" customHeight="false" outlineLevel="0" collapsed="false">
      <c r="A22" s="13" t="n">
        <v>2011</v>
      </c>
      <c r="B22" s="13" t="s">
        <v>481</v>
      </c>
      <c r="C22" s="14" t="n">
        <v>31304695.4539215</v>
      </c>
      <c r="D22" s="14" t="n">
        <v>37107661.0888715</v>
      </c>
      <c r="E22" s="14" t="n">
        <v>46695558.556473</v>
      </c>
      <c r="F22" s="14" t="n">
        <v>61813096.3137355</v>
      </c>
      <c r="G22" s="14" t="n">
        <v>59931655.1139065</v>
      </c>
      <c r="H22" s="14" t="n">
        <v>86598864.0858068</v>
      </c>
      <c r="I22" s="14" t="n">
        <v>63984674.3882646</v>
      </c>
      <c r="J22" s="14" t="n">
        <v>90656011.3710267</v>
      </c>
      <c r="K22" s="14" t="n">
        <v>31157768.9172894</v>
      </c>
      <c r="L22" s="14" t="n">
        <v>-23153205.9093824</v>
      </c>
    </row>
    <row r="23" customFormat="false" ht="15" hidden="false" customHeight="false" outlineLevel="0" collapsed="false">
      <c r="A23" s="13" t="n">
        <v>2011</v>
      </c>
      <c r="B23" s="13" t="s">
        <v>482</v>
      </c>
      <c r="C23" s="14" t="n">
        <v>31423747.2519363</v>
      </c>
      <c r="D23" s="14" t="n">
        <v>37470887.3971718</v>
      </c>
      <c r="E23" s="14" t="n">
        <v>46651134.6663186</v>
      </c>
      <c r="F23" s="14" t="n">
        <v>62057621.59159</v>
      </c>
      <c r="G23" s="14" t="n">
        <v>60606330.8078413</v>
      </c>
      <c r="H23" s="14" t="n">
        <v>87368913.461777</v>
      </c>
      <c r="I23" s="14" t="n">
        <v>64549535.0336034</v>
      </c>
      <c r="J23" s="14" t="n">
        <v>91316239.7767716</v>
      </c>
      <c r="K23" s="14" t="n">
        <v>31437502.481094</v>
      </c>
      <c r="L23" s="14" t="n">
        <v>-24583659.8814865</v>
      </c>
    </row>
    <row r="24" customFormat="false" ht="15" hidden="false" customHeight="false" outlineLevel="0" collapsed="false">
      <c r="A24" s="13" t="n">
        <v>2011</v>
      </c>
      <c r="B24" s="13" t="s">
        <v>483</v>
      </c>
      <c r="C24" s="14" t="n">
        <v>32277966.4411085</v>
      </c>
      <c r="D24" s="14" t="n">
        <v>38190646.566401</v>
      </c>
      <c r="E24" s="14" t="n">
        <v>48350399.559737</v>
      </c>
      <c r="F24" s="14" t="n">
        <v>63418020.17972</v>
      </c>
      <c r="G24" s="14" t="n">
        <v>62970200.7846635</v>
      </c>
      <c r="H24" s="14" t="n">
        <v>89265105.4445132</v>
      </c>
      <c r="I24" s="14" t="n">
        <v>66655933.8896116</v>
      </c>
      <c r="J24" s="14" t="n">
        <v>92953586.5753089</v>
      </c>
      <c r="K24" s="14" t="n">
        <v>32635139.7691024</v>
      </c>
      <c r="L24" s="14" t="n">
        <v>-25793166.5785898</v>
      </c>
    </row>
    <row r="25" customFormat="false" ht="15" hidden="false" customHeight="false" outlineLevel="0" collapsed="false">
      <c r="A25" s="13" t="n">
        <v>2011</v>
      </c>
      <c r="B25" s="13" t="s">
        <v>484</v>
      </c>
      <c r="C25" s="14" t="n">
        <v>32551186.280852</v>
      </c>
      <c r="D25" s="14" t="n">
        <v>38309584.206442</v>
      </c>
      <c r="E25" s="14" t="n">
        <v>49281078.088474</v>
      </c>
      <c r="F25" s="14" t="n">
        <v>64177645.16515</v>
      </c>
      <c r="G25" s="14" t="n">
        <v>64816333.170692</v>
      </c>
      <c r="H25" s="14" t="n">
        <v>90730336.4696617</v>
      </c>
      <c r="I25" s="14" t="n">
        <v>68451428.5521993</v>
      </c>
      <c r="J25" s="14" t="n">
        <v>94367473.7531395</v>
      </c>
      <c r="K25" s="14" t="n">
        <v>34320068.2000884</v>
      </c>
      <c r="L25" s="14" t="n">
        <v>-26182201.1872404</v>
      </c>
    </row>
    <row r="26" customFormat="false" ht="15" hidden="false" customHeight="false" outlineLevel="0" collapsed="false">
      <c r="A26" s="13" t="n">
        <v>2011</v>
      </c>
      <c r="B26" s="13" t="s">
        <v>485</v>
      </c>
      <c r="C26" s="14" t="n">
        <v>33253313.8034155</v>
      </c>
      <c r="D26" s="14" t="n">
        <v>39034533.150743</v>
      </c>
      <c r="E26" s="14" t="n">
        <v>49800567.283511</v>
      </c>
      <c r="F26" s="14" t="n">
        <v>64705949.3708</v>
      </c>
      <c r="G26" s="14" t="n">
        <v>65986414.8115805</v>
      </c>
      <c r="H26" s="14" t="n">
        <v>91773681.2731102</v>
      </c>
      <c r="I26" s="14" t="n">
        <v>69686643.3280165</v>
      </c>
      <c r="J26" s="14" t="n">
        <v>95475283.8212211</v>
      </c>
      <c r="K26" s="14" t="n">
        <v>35375422.9073945</v>
      </c>
      <c r="L26" s="14" t="n">
        <v>-26496707.4570779</v>
      </c>
    </row>
    <row r="27" customFormat="false" ht="15" hidden="false" customHeight="false" outlineLevel="0" collapsed="false">
      <c r="A27" s="13" t="n">
        <v>2011</v>
      </c>
      <c r="B27" s="13" t="s">
        <v>486</v>
      </c>
      <c r="C27" s="14" t="n">
        <v>34233064.460819</v>
      </c>
      <c r="D27" s="14" t="n">
        <v>40078367.743339</v>
      </c>
      <c r="E27" s="14" t="n">
        <v>51236908.209208</v>
      </c>
      <c r="F27" s="14" t="n">
        <v>66284820.864517</v>
      </c>
      <c r="G27" s="14" t="n">
        <v>68351043.767889</v>
      </c>
      <c r="H27" s="14" t="n">
        <v>94331776.4539106</v>
      </c>
      <c r="I27" s="14" t="n">
        <v>72322972.8876287</v>
      </c>
      <c r="J27" s="14" t="n">
        <v>98303705.5736503</v>
      </c>
      <c r="K27" s="14" t="n">
        <v>37694737.9300229</v>
      </c>
      <c r="L27" s="14" t="n">
        <v>-25953885.4388381</v>
      </c>
    </row>
    <row r="28" customFormat="false" ht="15" hidden="false" customHeight="false" outlineLevel="0" collapsed="false">
      <c r="A28" s="13" t="n">
        <v>2011</v>
      </c>
      <c r="B28" s="13" t="s">
        <v>487</v>
      </c>
      <c r="C28" s="14" t="n">
        <v>37092335.6206425</v>
      </c>
      <c r="D28" s="14" t="n">
        <v>42821419.8564075</v>
      </c>
      <c r="E28" s="14" t="n">
        <v>55353680.058145</v>
      </c>
      <c r="F28" s="14" t="n">
        <v>70469611.5022875</v>
      </c>
      <c r="G28" s="14" t="n">
        <v>73285814.2054675</v>
      </c>
      <c r="H28" s="14" t="n">
        <v>99315127.2314216</v>
      </c>
      <c r="I28" s="14" t="n">
        <v>77322319.4267566</v>
      </c>
      <c r="J28" s="14" t="n">
        <v>103351632.452711</v>
      </c>
      <c r="K28" s="14" t="n">
        <v>41768104.046898</v>
      </c>
      <c r="L28" s="14" t="n">
        <v>-23173066.2248223</v>
      </c>
    </row>
    <row r="29" customFormat="false" ht="15" hidden="false" customHeight="false" outlineLevel="0" collapsed="false">
      <c r="A29" s="13" t="n">
        <v>2012</v>
      </c>
      <c r="B29" s="13" t="s">
        <v>476</v>
      </c>
      <c r="C29" s="14" t="n">
        <v>36302490.735386</v>
      </c>
      <c r="D29" s="14" t="n">
        <v>41830996.366526</v>
      </c>
      <c r="E29" s="14" t="n">
        <v>53768310.747222</v>
      </c>
      <c r="F29" s="14" t="n">
        <v>68731166.633368</v>
      </c>
      <c r="G29" s="14" t="n">
        <v>72759885.327406</v>
      </c>
      <c r="H29" s="14" t="n">
        <v>98516216.7266726</v>
      </c>
      <c r="I29" s="14" t="n">
        <v>76712053.8332624</v>
      </c>
      <c r="J29" s="14" t="n">
        <v>102468385.232529</v>
      </c>
      <c r="K29" s="14" t="n">
        <v>39518452.9702101</v>
      </c>
      <c r="L29" s="14" t="n">
        <v>-26541033.3334527</v>
      </c>
    </row>
    <row r="30" customFormat="false" ht="15" hidden="false" customHeight="false" outlineLevel="0" collapsed="false">
      <c r="A30" s="13" t="n">
        <v>2012</v>
      </c>
      <c r="B30" s="13" t="s">
        <v>477</v>
      </c>
      <c r="C30" s="14" t="n">
        <v>36223958.7928395</v>
      </c>
      <c r="D30" s="14" t="n">
        <v>41892954.9962245</v>
      </c>
      <c r="E30" s="14" t="n">
        <v>53718156.413969</v>
      </c>
      <c r="F30" s="14" t="n">
        <v>68818232.4818285</v>
      </c>
      <c r="G30" s="14" t="n">
        <v>73662106.4911645</v>
      </c>
      <c r="H30" s="14" t="n">
        <v>99348577.4835736</v>
      </c>
      <c r="I30" s="14" t="n">
        <v>77727453.0387102</v>
      </c>
      <c r="J30" s="14" t="n">
        <v>103413924.031119</v>
      </c>
      <c r="K30" s="14" t="n">
        <v>39171409.3937679</v>
      </c>
      <c r="L30" s="14" t="n">
        <v>-27446881.256784</v>
      </c>
    </row>
    <row r="31" customFormat="false" ht="15" hidden="false" customHeight="false" outlineLevel="0" collapsed="false">
      <c r="A31" s="13" t="n">
        <v>2012</v>
      </c>
      <c r="B31" s="13" t="s">
        <v>478</v>
      </c>
      <c r="C31" s="14" t="n">
        <v>36349284.561293</v>
      </c>
      <c r="D31" s="14" t="n">
        <v>42329142.218823</v>
      </c>
      <c r="E31" s="14" t="n">
        <v>54420469.049176</v>
      </c>
      <c r="F31" s="14" t="n">
        <v>69920000.598329</v>
      </c>
      <c r="G31" s="14" t="n">
        <v>75524658.548443</v>
      </c>
      <c r="H31" s="14" t="n">
        <v>101337788.424025</v>
      </c>
      <c r="I31" s="14" t="n">
        <v>79643097.5949828</v>
      </c>
      <c r="J31" s="14" t="n">
        <v>105456227.470564</v>
      </c>
      <c r="K31" s="14" t="n">
        <v>39703293.3021099</v>
      </c>
      <c r="L31" s="14" t="n">
        <v>-27543760.4403519</v>
      </c>
    </row>
    <row r="32" customFormat="false" ht="15" hidden="false" customHeight="false" outlineLevel="0" collapsed="false">
      <c r="A32" s="13" t="n">
        <v>2012</v>
      </c>
      <c r="B32" s="13" t="s">
        <v>479</v>
      </c>
      <c r="C32" s="14" t="n">
        <v>36169348.1418265</v>
      </c>
      <c r="D32" s="14" t="n">
        <v>42657988.7029715</v>
      </c>
      <c r="E32" s="14" t="n">
        <v>54224223.472053</v>
      </c>
      <c r="F32" s="14" t="n">
        <v>70198776.5027095</v>
      </c>
      <c r="G32" s="14" t="n">
        <v>75914403.5557215</v>
      </c>
      <c r="H32" s="14" t="n">
        <v>101809097.966816</v>
      </c>
      <c r="I32" s="14" t="n">
        <v>80111369.4565315</v>
      </c>
      <c r="J32" s="14" t="n">
        <v>106006063.867626</v>
      </c>
      <c r="K32" s="14" t="n">
        <v>38023309.6010717</v>
      </c>
      <c r="L32" s="14" t="n">
        <v>-28166397.3927386</v>
      </c>
    </row>
    <row r="33" customFormat="false" ht="15" hidden="false" customHeight="false" outlineLevel="0" collapsed="false">
      <c r="A33" s="13" t="n">
        <v>2012</v>
      </c>
      <c r="B33" s="13" t="s">
        <v>480</v>
      </c>
      <c r="C33" s="14" t="n">
        <v>36674820.8967852</v>
      </c>
      <c r="D33" s="14" t="n">
        <v>43324360.4993592</v>
      </c>
      <c r="E33" s="14" t="n">
        <v>54872685.7651144</v>
      </c>
      <c r="F33" s="14" t="n">
        <v>71002295.4318836</v>
      </c>
      <c r="G33" s="14" t="n">
        <v>77511756.4445652</v>
      </c>
      <c r="H33" s="14" t="n">
        <v>103184349.9238</v>
      </c>
      <c r="I33" s="14" t="n">
        <v>82008677.3772155</v>
      </c>
      <c r="J33" s="14" t="n">
        <v>107681270.85645</v>
      </c>
      <c r="K33" s="14" t="n">
        <v>36725834.4155243</v>
      </c>
      <c r="L33" s="14" t="n">
        <v>-29605296.7170398</v>
      </c>
    </row>
    <row r="34" customFormat="false" ht="15" hidden="false" customHeight="false" outlineLevel="0" collapsed="false">
      <c r="A34" s="13" t="n">
        <v>2012</v>
      </c>
      <c r="B34" s="13" t="s">
        <v>481</v>
      </c>
      <c r="C34" s="14" t="n">
        <v>37521500.1691339</v>
      </c>
      <c r="D34" s="14" t="n">
        <v>43964826.8776069</v>
      </c>
      <c r="E34" s="14" t="n">
        <v>56474076.8541958</v>
      </c>
      <c r="F34" s="14" t="n">
        <v>72379452.2285977</v>
      </c>
      <c r="G34" s="14" t="n">
        <v>79939328.1018889</v>
      </c>
      <c r="H34" s="14" t="n">
        <v>105188576.132034</v>
      </c>
      <c r="I34" s="14" t="n">
        <v>84223577.2082594</v>
      </c>
      <c r="J34" s="14" t="n">
        <v>109472825.238405</v>
      </c>
      <c r="K34" s="14" t="n">
        <v>37503828.2449318</v>
      </c>
      <c r="L34" s="14" t="n">
        <v>-29131072.7052027</v>
      </c>
    </row>
    <row r="35" customFormat="false" ht="15" hidden="false" customHeight="false" outlineLevel="0" collapsed="false">
      <c r="A35" s="13" t="n">
        <v>2012</v>
      </c>
      <c r="B35" s="13" t="s">
        <v>482</v>
      </c>
      <c r="C35" s="14" t="n">
        <v>36808320.1165326</v>
      </c>
      <c r="D35" s="14" t="n">
        <v>42964016.1790946</v>
      </c>
      <c r="E35" s="14" t="n">
        <v>55831876.8013072</v>
      </c>
      <c r="F35" s="14" t="n">
        <v>71440516.6760518</v>
      </c>
      <c r="G35" s="14" t="n">
        <v>80217055.7879126</v>
      </c>
      <c r="H35" s="14" t="n">
        <v>105021327.888118</v>
      </c>
      <c r="I35" s="14" t="n">
        <v>84875956.0900034</v>
      </c>
      <c r="J35" s="14" t="n">
        <v>109680228.190209</v>
      </c>
      <c r="K35" s="14" t="n">
        <v>36976145.6546432</v>
      </c>
      <c r="L35" s="14" t="n">
        <v>-31072632.893458</v>
      </c>
    </row>
    <row r="36" customFormat="false" ht="15" hidden="false" customHeight="false" outlineLevel="0" collapsed="false">
      <c r="A36" s="13" t="n">
        <v>2012</v>
      </c>
      <c r="B36" s="13" t="s">
        <v>483</v>
      </c>
      <c r="C36" s="14" t="n">
        <v>37475584.2488513</v>
      </c>
      <c r="D36" s="14" t="n">
        <v>43834697.1369023</v>
      </c>
      <c r="E36" s="14" t="n">
        <v>56810133.8073786</v>
      </c>
      <c r="F36" s="14" t="n">
        <v>72515670.6551059</v>
      </c>
      <c r="G36" s="14" t="n">
        <v>81881658.8010563</v>
      </c>
      <c r="H36" s="14" t="n">
        <v>106556103.939562</v>
      </c>
      <c r="I36" s="14" t="n">
        <v>86288972.1698573</v>
      </c>
      <c r="J36" s="14" t="n">
        <v>110963417.308363</v>
      </c>
      <c r="K36" s="14" t="n">
        <v>37915235.2682501</v>
      </c>
      <c r="L36" s="14" t="n">
        <v>-32641457.8608115</v>
      </c>
    </row>
    <row r="37" customFormat="false" ht="15" hidden="false" customHeight="false" outlineLevel="0" collapsed="false">
      <c r="A37" s="13" t="n">
        <v>2012</v>
      </c>
      <c r="B37" s="13" t="s">
        <v>484</v>
      </c>
      <c r="C37" s="14" t="n">
        <v>38246276.9179957</v>
      </c>
      <c r="D37" s="14" t="n">
        <v>44480472.9352111</v>
      </c>
      <c r="E37" s="14" t="n">
        <v>57443197.5566243</v>
      </c>
      <c r="F37" s="14" t="n">
        <v>73115184.4790079</v>
      </c>
      <c r="G37" s="14" t="n">
        <v>83296332.9136331</v>
      </c>
      <c r="H37" s="14" t="n">
        <v>107786725.68229</v>
      </c>
      <c r="I37" s="14" t="n">
        <v>87250927.1971544</v>
      </c>
      <c r="J37" s="14" t="n">
        <v>111741319.965811</v>
      </c>
      <c r="K37" s="14" t="n">
        <v>39808812.6853072</v>
      </c>
      <c r="L37" s="14" t="n">
        <v>-31624133.681828</v>
      </c>
    </row>
    <row r="38" customFormat="false" ht="15" hidden="false" customHeight="false" outlineLevel="0" collapsed="false">
      <c r="A38" s="13" t="n">
        <v>2012</v>
      </c>
      <c r="B38" s="13" t="s">
        <v>485</v>
      </c>
      <c r="C38" s="14" t="n">
        <v>38763625.3759605</v>
      </c>
      <c r="D38" s="14" t="n">
        <v>45447778.2062289</v>
      </c>
      <c r="E38" s="14" t="n">
        <v>58046523.9774514</v>
      </c>
      <c r="F38" s="14" t="n">
        <v>74134415.8561304</v>
      </c>
      <c r="G38" s="14" t="n">
        <v>84666848.5068945</v>
      </c>
      <c r="H38" s="14" t="n">
        <v>109403853.756981</v>
      </c>
      <c r="I38" s="14" t="n">
        <v>88833150.5554545</v>
      </c>
      <c r="J38" s="14" t="n">
        <v>113570155.805541</v>
      </c>
      <c r="K38" s="14" t="n">
        <v>39897674.0001183</v>
      </c>
      <c r="L38" s="14" t="n">
        <v>-35032581.714719</v>
      </c>
    </row>
    <row r="39" customFormat="false" ht="15" hidden="false" customHeight="false" outlineLevel="0" collapsed="false">
      <c r="A39" s="13" t="n">
        <v>2012</v>
      </c>
      <c r="B39" s="13" t="s">
        <v>486</v>
      </c>
      <c r="C39" s="14" t="n">
        <v>39540627.0089554</v>
      </c>
      <c r="D39" s="14" t="n">
        <v>46183335.4720267</v>
      </c>
      <c r="E39" s="14" t="n">
        <v>59788339.6941286</v>
      </c>
      <c r="F39" s="14" t="n">
        <v>75692354.7980528</v>
      </c>
      <c r="G39" s="14" t="n">
        <v>87316533.4734059</v>
      </c>
      <c r="H39" s="14" t="n">
        <v>111729855.056376</v>
      </c>
      <c r="I39" s="14" t="n">
        <v>90996456.3592959</v>
      </c>
      <c r="J39" s="14" t="n">
        <v>115409777.942266</v>
      </c>
      <c r="K39" s="14" t="n">
        <v>42290006.6232936</v>
      </c>
      <c r="L39" s="14" t="n">
        <v>-34484140.4367607</v>
      </c>
    </row>
    <row r="40" customFormat="false" ht="15" hidden="false" customHeight="false" outlineLevel="0" collapsed="false">
      <c r="A40" s="13" t="n">
        <v>2012</v>
      </c>
      <c r="B40" s="13" t="s">
        <v>487</v>
      </c>
      <c r="C40" s="14" t="n">
        <v>44297097.5097403</v>
      </c>
      <c r="D40" s="14" t="n">
        <v>50998195.3710945</v>
      </c>
      <c r="E40" s="14" t="n">
        <v>66554401.5346357</v>
      </c>
      <c r="F40" s="14" t="n">
        <v>82646059.7042552</v>
      </c>
      <c r="G40" s="14" t="n">
        <v>94908745.3480373</v>
      </c>
      <c r="H40" s="14" t="n">
        <v>119366657.068397</v>
      </c>
      <c r="I40" s="14" t="n">
        <v>98092874.4484773</v>
      </c>
      <c r="J40" s="14" t="n">
        <v>122550786.168837</v>
      </c>
      <c r="K40" s="14" t="n">
        <v>48670600.3759168</v>
      </c>
      <c r="L40" s="14" t="n">
        <v>-29315840.0647791</v>
      </c>
    </row>
    <row r="41" customFormat="false" ht="15" hidden="false" customHeight="false" outlineLevel="0" collapsed="false">
      <c r="A41" s="13" t="n">
        <v>2013</v>
      </c>
      <c r="B41" s="13" t="s">
        <v>476</v>
      </c>
      <c r="C41" s="14" t="n">
        <v>41719308.6460551</v>
      </c>
      <c r="D41" s="14" t="n">
        <v>48607552.9828022</v>
      </c>
      <c r="E41" s="14" t="n">
        <v>63926072.8767729</v>
      </c>
      <c r="F41" s="14" t="n">
        <v>80302280.5987976</v>
      </c>
      <c r="G41" s="14" t="n">
        <v>92749331.7523086</v>
      </c>
      <c r="H41" s="14" t="n">
        <v>117385654.060039</v>
      </c>
      <c r="I41" s="14" t="n">
        <v>95996821.5201786</v>
      </c>
      <c r="J41" s="14" t="n">
        <v>120633143.827909</v>
      </c>
      <c r="K41" s="14" t="n">
        <v>45853153.1717937</v>
      </c>
      <c r="L41" s="14" t="n">
        <v>-31541942.4575836</v>
      </c>
    </row>
    <row r="42" customFormat="false" ht="15" hidden="false" customHeight="false" outlineLevel="0" collapsed="false">
      <c r="A42" s="13" t="n">
        <v>2013</v>
      </c>
      <c r="B42" s="13" t="s">
        <v>477</v>
      </c>
      <c r="C42" s="14" t="n">
        <v>41436784.7917776</v>
      </c>
      <c r="D42" s="14" t="n">
        <v>48671489.0989811</v>
      </c>
      <c r="E42" s="14" t="n">
        <v>63624705.0738164</v>
      </c>
      <c r="F42" s="14" t="n">
        <v>80368737.6705238</v>
      </c>
      <c r="G42" s="14" t="n">
        <v>93078954.6473693</v>
      </c>
      <c r="H42" s="14" t="n">
        <v>117905281.484809</v>
      </c>
      <c r="I42" s="14" t="n">
        <v>96753209.9778193</v>
      </c>
      <c r="J42" s="14" t="n">
        <v>121579536.815259</v>
      </c>
      <c r="K42" s="14" t="n">
        <v>45106015.3406063</v>
      </c>
      <c r="L42" s="14" t="n">
        <v>-33255567.9428463</v>
      </c>
    </row>
    <row r="43" customFormat="false" ht="15" hidden="false" customHeight="false" outlineLevel="0" collapsed="false">
      <c r="A43" s="13" t="n">
        <v>2013</v>
      </c>
      <c r="B43" s="13" t="s">
        <v>478</v>
      </c>
      <c r="C43" s="14" t="n">
        <v>41377359.3115701</v>
      </c>
      <c r="D43" s="14" t="n">
        <v>48514825.8743229</v>
      </c>
      <c r="E43" s="14" t="n">
        <v>63362387.2449031</v>
      </c>
      <c r="F43" s="14" t="n">
        <v>80073478.5776731</v>
      </c>
      <c r="G43" s="14" t="n">
        <v>93740146.9510675</v>
      </c>
      <c r="H43" s="14" t="n">
        <v>118394881.360484</v>
      </c>
      <c r="I43" s="14" t="n">
        <v>97659881.1873975</v>
      </c>
      <c r="J43" s="14" t="n">
        <v>122314615.596813</v>
      </c>
      <c r="K43" s="14" t="n">
        <v>43142448.6005779</v>
      </c>
      <c r="L43" s="14" t="n">
        <v>-34246472.3155122</v>
      </c>
    </row>
    <row r="44" customFormat="false" ht="15" hidden="false" customHeight="false" outlineLevel="0" collapsed="false">
      <c r="A44" s="13" t="n">
        <v>2013</v>
      </c>
      <c r="B44" s="13" t="s">
        <v>479</v>
      </c>
      <c r="C44" s="14" t="n">
        <v>40593427.6331663</v>
      </c>
      <c r="D44" s="14" t="n">
        <v>47830258.3286888</v>
      </c>
      <c r="E44" s="14" t="n">
        <v>62781880.4367315</v>
      </c>
      <c r="F44" s="14" t="n">
        <v>79646267.5735977</v>
      </c>
      <c r="G44" s="14" t="n">
        <v>93841107.5303665</v>
      </c>
      <c r="H44" s="14" t="n">
        <v>118422176.071721</v>
      </c>
      <c r="I44" s="14" t="n">
        <v>97754858.0058665</v>
      </c>
      <c r="J44" s="14" t="n">
        <v>122335926.547221</v>
      </c>
      <c r="K44" s="14" t="n">
        <v>41892660.6013822</v>
      </c>
      <c r="L44" s="14" t="n">
        <v>-36347891.5099888</v>
      </c>
    </row>
    <row r="45" customFormat="false" ht="15" hidden="false" customHeight="false" outlineLevel="0" collapsed="false">
      <c r="A45" s="13" t="n">
        <v>2013</v>
      </c>
      <c r="B45" s="13" t="s">
        <v>480</v>
      </c>
      <c r="C45" s="14" t="n">
        <v>41050277.7158025</v>
      </c>
      <c r="D45" s="14" t="n">
        <v>48411897.8742347</v>
      </c>
      <c r="E45" s="14" t="n">
        <v>62733676.5935999</v>
      </c>
      <c r="F45" s="14" t="n">
        <v>79768639.3852823</v>
      </c>
      <c r="G45" s="14" t="n">
        <v>95133142.0427956</v>
      </c>
      <c r="H45" s="14" t="n">
        <v>119817084.590718</v>
      </c>
      <c r="I45" s="14" t="n">
        <v>99912480.3235756</v>
      </c>
      <c r="J45" s="14" t="n">
        <v>124596422.871498</v>
      </c>
      <c r="K45" s="14" t="n">
        <v>41468493.1261365</v>
      </c>
      <c r="L45" s="14" t="n">
        <v>-36985881.5433241</v>
      </c>
    </row>
    <row r="46" customFormat="false" ht="15" hidden="false" customHeight="false" outlineLevel="0" collapsed="false">
      <c r="A46" s="13" t="n">
        <v>2013</v>
      </c>
      <c r="B46" s="13" t="s">
        <v>481</v>
      </c>
      <c r="C46" s="14" t="n">
        <v>42851608.4786288</v>
      </c>
      <c r="D46" s="14" t="n">
        <v>50061199.6234706</v>
      </c>
      <c r="E46" s="14" t="n">
        <v>65226877.4556982</v>
      </c>
      <c r="F46" s="14" t="n">
        <v>82165819.3813069</v>
      </c>
      <c r="G46" s="14" t="n">
        <v>98176153.1252447</v>
      </c>
      <c r="H46" s="14" t="n">
        <v>122491179.932635</v>
      </c>
      <c r="I46" s="14" t="n">
        <v>102386368.240895</v>
      </c>
      <c r="J46" s="14" t="n">
        <v>126701395.048285</v>
      </c>
      <c r="K46" s="14" t="n">
        <v>43314165.6937189</v>
      </c>
      <c r="L46" s="14" t="n">
        <v>-35653628.5176337</v>
      </c>
    </row>
    <row r="47" customFormat="false" ht="15" hidden="false" customHeight="false" outlineLevel="0" collapsed="false">
      <c r="A47" s="13" t="n">
        <v>2013</v>
      </c>
      <c r="B47" s="13" t="s">
        <v>482</v>
      </c>
      <c r="C47" s="14" t="n">
        <v>42115248.457315</v>
      </c>
      <c r="D47" s="14" t="n">
        <v>49361426.7993865</v>
      </c>
      <c r="E47" s="14" t="n">
        <v>65445409.1931466</v>
      </c>
      <c r="F47" s="14" t="n">
        <v>82453027.4398815</v>
      </c>
      <c r="G47" s="14" t="n">
        <v>98763975.0959637</v>
      </c>
      <c r="H47" s="14" t="n">
        <v>122835292.299962</v>
      </c>
      <c r="I47" s="14" t="n">
        <v>103448249.037564</v>
      </c>
      <c r="J47" s="14" t="n">
        <v>127519566.241562</v>
      </c>
      <c r="K47" s="14" t="n">
        <v>42593305.9467499</v>
      </c>
      <c r="L47" s="14" t="n">
        <v>-37909190.0463432</v>
      </c>
    </row>
    <row r="48" customFormat="false" ht="15" hidden="false" customHeight="false" outlineLevel="0" collapsed="false">
      <c r="A48" s="13" t="n">
        <v>2013</v>
      </c>
      <c r="B48" s="13" t="s">
        <v>483</v>
      </c>
      <c r="C48" s="14" t="n">
        <v>42260690.9963613</v>
      </c>
      <c r="D48" s="14" t="n">
        <v>49206397.0962823</v>
      </c>
      <c r="E48" s="14" t="n">
        <v>66300474.1083449</v>
      </c>
      <c r="F48" s="14" t="n">
        <v>82983282.6888661</v>
      </c>
      <c r="G48" s="14" t="n">
        <v>100373532.123353</v>
      </c>
      <c r="H48" s="14" t="n">
        <v>123829699.905559</v>
      </c>
      <c r="I48" s="14" t="n">
        <v>104893079.396993</v>
      </c>
      <c r="J48" s="14" t="n">
        <v>128349247.179199</v>
      </c>
      <c r="K48" s="14" t="n">
        <v>43705429.0364642</v>
      </c>
      <c r="L48" s="14" t="n">
        <v>-41299918.6964984</v>
      </c>
    </row>
    <row r="49" customFormat="false" ht="15" hidden="false" customHeight="false" outlineLevel="0" collapsed="false">
      <c r="A49" s="13" t="n">
        <v>2013</v>
      </c>
      <c r="B49" s="13" t="s">
        <v>484</v>
      </c>
      <c r="C49" s="14" t="n">
        <v>42860425.4837075</v>
      </c>
      <c r="D49" s="14" t="n">
        <v>50290640.7085982</v>
      </c>
      <c r="E49" s="14" t="n">
        <v>66746908.6534733</v>
      </c>
      <c r="F49" s="14" t="n">
        <v>83937935.0798308</v>
      </c>
      <c r="G49" s="14" t="n">
        <v>101754019.060052</v>
      </c>
      <c r="H49" s="14" t="n">
        <v>125662881.046286</v>
      </c>
      <c r="I49" s="14" t="n">
        <v>105725133.098972</v>
      </c>
      <c r="J49" s="14" t="n">
        <v>129633995.085206</v>
      </c>
      <c r="K49" s="14" t="n">
        <v>42603226.6598732</v>
      </c>
      <c r="L49" s="14" t="n">
        <v>-41345434.0986017</v>
      </c>
    </row>
    <row r="50" customFormat="false" ht="15" hidden="false" customHeight="false" outlineLevel="0" collapsed="false">
      <c r="A50" s="13" t="n">
        <v>2013</v>
      </c>
      <c r="B50" s="13" t="s">
        <v>485</v>
      </c>
      <c r="C50" s="14" t="n">
        <v>44062775.5783038</v>
      </c>
      <c r="D50" s="14" t="n">
        <v>51727215.2813341</v>
      </c>
      <c r="E50" s="14" t="n">
        <v>68673452.1364517</v>
      </c>
      <c r="F50" s="14" t="n">
        <v>86151983.3894654</v>
      </c>
      <c r="G50" s="14" t="n">
        <v>104112783.616291</v>
      </c>
      <c r="H50" s="14" t="n">
        <v>128211992.221903</v>
      </c>
      <c r="I50" s="14" t="n">
        <v>108568214.685511</v>
      </c>
      <c r="J50" s="14" t="n">
        <v>132667423.291123</v>
      </c>
      <c r="K50" s="14" t="n">
        <v>43193946.0143068</v>
      </c>
      <c r="L50" s="14" t="n">
        <v>-41671917.3237801</v>
      </c>
    </row>
    <row r="51" customFormat="false" ht="15" hidden="false" customHeight="false" outlineLevel="0" collapsed="false">
      <c r="A51" s="13" t="n">
        <v>2013</v>
      </c>
      <c r="B51" s="13" t="s">
        <v>486</v>
      </c>
      <c r="C51" s="14" t="n">
        <v>44978060.40272</v>
      </c>
      <c r="D51" s="14" t="n">
        <v>52708053.936</v>
      </c>
      <c r="E51" s="14" t="n">
        <v>69249423.57076</v>
      </c>
      <c r="F51" s="14" t="n">
        <v>86764301.13057</v>
      </c>
      <c r="G51" s="14" t="n">
        <v>105010523.27855</v>
      </c>
      <c r="H51" s="14" t="n">
        <v>128997961.35686</v>
      </c>
      <c r="I51" s="14" t="n">
        <v>109866954.68292</v>
      </c>
      <c r="J51" s="14" t="n">
        <v>133854392.76123</v>
      </c>
      <c r="K51" s="14" t="n">
        <v>43378118.5442815</v>
      </c>
      <c r="L51" s="14" t="n">
        <v>-41205002.8243148</v>
      </c>
    </row>
    <row r="52" customFormat="false" ht="15" hidden="false" customHeight="false" outlineLevel="0" collapsed="false">
      <c r="A52" s="13" t="n">
        <v>2013</v>
      </c>
      <c r="B52" s="13" t="s">
        <v>487</v>
      </c>
      <c r="C52" s="14" t="n">
        <v>50526967.04481</v>
      </c>
      <c r="D52" s="14" t="n">
        <v>57981186.57392</v>
      </c>
      <c r="E52" s="14" t="n">
        <v>78366959.47886</v>
      </c>
      <c r="F52" s="14" t="n">
        <v>95835928.59175</v>
      </c>
      <c r="G52" s="14" t="n">
        <v>114826850.72718</v>
      </c>
      <c r="H52" s="14" t="n">
        <v>138661271.42405</v>
      </c>
      <c r="I52" s="14" t="n">
        <v>119371810.10226</v>
      </c>
      <c r="J52" s="14" t="n">
        <v>143206230.79913</v>
      </c>
      <c r="K52" s="14" t="n">
        <v>51605915.0814773</v>
      </c>
      <c r="L52" s="14" t="n">
        <v>-33813097.8126916</v>
      </c>
    </row>
    <row r="53" customFormat="false" ht="15" hidden="false" customHeight="false" outlineLevel="0" collapsed="false">
      <c r="A53" s="13" t="n">
        <v>2014</v>
      </c>
      <c r="B53" s="13" t="s">
        <v>476</v>
      </c>
      <c r="C53" s="14" t="n">
        <v>48366810.1299</v>
      </c>
      <c r="D53" s="14" t="n">
        <v>55745036.37411</v>
      </c>
      <c r="E53" s="14" t="n">
        <v>75768058.85579</v>
      </c>
      <c r="F53" s="14" t="n">
        <v>93159199.32948</v>
      </c>
      <c r="G53" s="14" t="n">
        <v>112347787.50668</v>
      </c>
      <c r="H53" s="14" t="n">
        <v>136049809.42356</v>
      </c>
      <c r="I53" s="14" t="n">
        <v>118003166.54759</v>
      </c>
      <c r="J53" s="14" t="n">
        <v>141705188.46447</v>
      </c>
      <c r="K53" s="14" t="n">
        <v>46502025.8085381</v>
      </c>
      <c r="L53" s="14" t="n">
        <v>-35379873.6577945</v>
      </c>
    </row>
    <row r="54" customFormat="false" ht="15" hidden="false" customHeight="false" outlineLevel="0" collapsed="false">
      <c r="A54" s="13" t="n">
        <v>2014</v>
      </c>
      <c r="B54" s="13" t="s">
        <v>477</v>
      </c>
      <c r="C54" s="14" t="n">
        <v>48162660.54548</v>
      </c>
      <c r="D54" s="14" t="n">
        <v>55341436.45214</v>
      </c>
      <c r="E54" s="14" t="n">
        <v>74952321.40564</v>
      </c>
      <c r="F54" s="14" t="n">
        <v>92215998.88078</v>
      </c>
      <c r="G54" s="14" t="n">
        <v>111787450.81787</v>
      </c>
      <c r="H54" s="14" t="n">
        <v>135287907.24204</v>
      </c>
      <c r="I54" s="14" t="n">
        <v>117937854.03073</v>
      </c>
      <c r="J54" s="14" t="n">
        <v>141438310.4549</v>
      </c>
      <c r="K54" s="14" t="n">
        <v>44971025.8927438</v>
      </c>
      <c r="L54" s="14" t="n">
        <v>-35909120.4313822</v>
      </c>
    </row>
    <row r="55" customFormat="false" ht="15" hidden="false" customHeight="false" outlineLevel="0" collapsed="false">
      <c r="A55" s="13" t="n">
        <v>2014</v>
      </c>
      <c r="B55" s="13" t="s">
        <v>478</v>
      </c>
      <c r="C55" s="14" t="n">
        <v>47984516.24035</v>
      </c>
      <c r="D55" s="14" t="n">
        <v>55421626.0925</v>
      </c>
      <c r="E55" s="14" t="n">
        <v>75150719.30367</v>
      </c>
      <c r="F55" s="14" t="n">
        <v>92757126.27744</v>
      </c>
      <c r="G55" s="14" t="n">
        <v>112109325.13839</v>
      </c>
      <c r="H55" s="14" t="n">
        <v>135897953.99149</v>
      </c>
      <c r="I55" s="14" t="n">
        <v>118877412.75625</v>
      </c>
      <c r="J55" s="14" t="n">
        <v>142666041.60935</v>
      </c>
      <c r="K55" s="14" t="n">
        <v>43583380.1296606</v>
      </c>
      <c r="L55" s="14" t="n">
        <v>-37354259.68519</v>
      </c>
    </row>
    <row r="56" customFormat="false" ht="15" hidden="false" customHeight="false" outlineLevel="0" collapsed="false">
      <c r="A56" s="13" t="n">
        <v>2014</v>
      </c>
      <c r="B56" s="13" t="s">
        <v>479</v>
      </c>
      <c r="C56" s="14" t="n">
        <v>47394760.8826</v>
      </c>
      <c r="D56" s="14" t="n">
        <v>54927413.16222</v>
      </c>
      <c r="E56" s="14" t="n">
        <v>75864593.85433</v>
      </c>
      <c r="F56" s="14" t="n">
        <v>93653095.30115</v>
      </c>
      <c r="G56" s="14" t="n">
        <v>112955237.32967</v>
      </c>
      <c r="H56" s="14" t="n">
        <v>136879319.413</v>
      </c>
      <c r="I56" s="14" t="n">
        <v>119599552.11539</v>
      </c>
      <c r="J56" s="14" t="n">
        <v>143523634.19872</v>
      </c>
      <c r="K56" s="14" t="n">
        <v>44933133.2159668</v>
      </c>
      <c r="L56" s="14" t="n">
        <v>-38644746.6078787</v>
      </c>
    </row>
    <row r="57" customFormat="false" ht="15" hidden="false" customHeight="false" outlineLevel="0" collapsed="false">
      <c r="A57" s="13" t="n">
        <v>2014</v>
      </c>
      <c r="B57" s="13" t="s">
        <v>480</v>
      </c>
      <c r="C57" s="14" t="n">
        <v>47766791.43782</v>
      </c>
      <c r="D57" s="14" t="n">
        <v>55637674.63931</v>
      </c>
      <c r="E57" s="14" t="n">
        <v>75675999.73455</v>
      </c>
      <c r="F57" s="14" t="n">
        <v>93856359.8391</v>
      </c>
      <c r="G57" s="14" t="n">
        <v>113174472.11864</v>
      </c>
      <c r="H57" s="14" t="n">
        <v>137284398.70665</v>
      </c>
      <c r="I57" s="14" t="n">
        <v>120122811.23585</v>
      </c>
      <c r="J57" s="14" t="n">
        <v>144232737.82386</v>
      </c>
      <c r="K57" s="14" t="n">
        <v>44710185.8352119</v>
      </c>
      <c r="L57" s="14" t="n">
        <v>-39922868.1347447</v>
      </c>
    </row>
    <row r="58" customFormat="false" ht="15" hidden="false" customHeight="false" outlineLevel="0" collapsed="false">
      <c r="A58" s="13" t="n">
        <v>2014</v>
      </c>
      <c r="B58" s="13" t="s">
        <v>481</v>
      </c>
      <c r="C58" s="14" t="n">
        <v>48813178.29684</v>
      </c>
      <c r="D58" s="14" t="n">
        <v>56613917.71626</v>
      </c>
      <c r="E58" s="14" t="n">
        <v>76948202.40159</v>
      </c>
      <c r="F58" s="14" t="n">
        <v>95094069.59312</v>
      </c>
      <c r="G58" s="14" t="n">
        <v>115454584.90166</v>
      </c>
      <c r="H58" s="14" t="n">
        <v>139353691.91854</v>
      </c>
      <c r="I58" s="14" t="n">
        <v>122481435.55131</v>
      </c>
      <c r="J58" s="14" t="n">
        <v>146380542.56819</v>
      </c>
      <c r="K58" s="14" t="n">
        <v>46248208.12499</v>
      </c>
      <c r="L58" s="14" t="n">
        <v>-39064965.9286077</v>
      </c>
    </row>
    <row r="59" customFormat="false" ht="15" hidden="false" customHeight="false" outlineLevel="0" collapsed="false">
      <c r="A59" s="13" t="n">
        <v>2014</v>
      </c>
      <c r="B59" s="13" t="s">
        <v>482</v>
      </c>
      <c r="C59" s="14" t="n">
        <v>47920828.30154</v>
      </c>
      <c r="D59" s="14" t="n">
        <v>55401598.71643</v>
      </c>
      <c r="E59" s="14" t="n">
        <v>75840099.8074</v>
      </c>
      <c r="F59" s="14" t="n">
        <v>93713817.04917</v>
      </c>
      <c r="G59" s="14" t="n">
        <v>115217770.59092</v>
      </c>
      <c r="H59" s="14" t="n">
        <v>138720038.73367</v>
      </c>
      <c r="I59" s="14" t="n">
        <v>122694571.88808</v>
      </c>
      <c r="J59" s="14" t="n">
        <v>146196840.03083</v>
      </c>
      <c r="K59" s="14" t="n">
        <v>45999454.6567801</v>
      </c>
      <c r="L59" s="14" t="n">
        <v>-41939025.653691</v>
      </c>
    </row>
    <row r="60" customFormat="false" ht="15" hidden="false" customHeight="false" outlineLevel="0" collapsed="false">
      <c r="A60" s="13" t="n">
        <v>2014</v>
      </c>
      <c r="B60" s="13" t="s">
        <v>483</v>
      </c>
      <c r="C60" s="14" t="n">
        <v>48087497.83892</v>
      </c>
      <c r="D60" s="14" t="n">
        <v>55336900.25852</v>
      </c>
      <c r="E60" s="14" t="n">
        <v>76325611.4771</v>
      </c>
      <c r="F60" s="14" t="n">
        <v>93915253.03538</v>
      </c>
      <c r="G60" s="14" t="n">
        <v>116736897.78983</v>
      </c>
      <c r="H60" s="14" t="n">
        <v>139926124.04522</v>
      </c>
      <c r="I60" s="14" t="n">
        <v>123759387.68723</v>
      </c>
      <c r="J60" s="14" t="n">
        <v>146948613.94262</v>
      </c>
      <c r="K60" s="14" t="n">
        <v>47132791.2852236</v>
      </c>
      <c r="L60" s="14" t="n">
        <v>-44207526.10295</v>
      </c>
    </row>
    <row r="61" customFormat="false" ht="15" hidden="false" customHeight="false" outlineLevel="0" collapsed="false">
      <c r="A61" s="13" t="n">
        <v>2014</v>
      </c>
      <c r="B61" s="13" t="s">
        <v>484</v>
      </c>
      <c r="C61" s="14" t="n">
        <v>49853843.56044</v>
      </c>
      <c r="D61" s="14" t="n">
        <v>56975379.1986</v>
      </c>
      <c r="E61" s="14" t="n">
        <v>79085282.60534</v>
      </c>
      <c r="F61" s="14" t="n">
        <v>96547507.02426</v>
      </c>
      <c r="G61" s="14" t="n">
        <v>120407046.77352</v>
      </c>
      <c r="H61" s="14" t="n">
        <v>143430806.20458</v>
      </c>
      <c r="I61" s="14" t="n">
        <v>127240780.85326</v>
      </c>
      <c r="J61" s="14" t="n">
        <v>150264540.28432</v>
      </c>
      <c r="K61" s="14" t="n">
        <v>48305382.1367247</v>
      </c>
      <c r="L61" s="14" t="n">
        <v>-42349181.1989906</v>
      </c>
    </row>
    <row r="62" customFormat="false" ht="15" hidden="false" customHeight="false" outlineLevel="0" collapsed="false">
      <c r="A62" s="13" t="n">
        <v>2014</v>
      </c>
      <c r="B62" s="13" t="s">
        <v>485</v>
      </c>
      <c r="C62" s="14" t="n">
        <v>50390507.2872</v>
      </c>
      <c r="D62" s="14" t="n">
        <v>57888117.28829</v>
      </c>
      <c r="E62" s="14" t="n">
        <v>80505942.62045</v>
      </c>
      <c r="F62" s="14" t="n">
        <v>98301218.58172</v>
      </c>
      <c r="G62" s="14" t="n">
        <v>122967451.37607</v>
      </c>
      <c r="H62" s="14" t="n">
        <v>146199402.93013</v>
      </c>
      <c r="I62" s="14" t="n">
        <v>130249195.55367</v>
      </c>
      <c r="J62" s="14" t="n">
        <v>153481147.10773</v>
      </c>
      <c r="K62" s="14" t="n">
        <v>51843439.0631433</v>
      </c>
      <c r="L62" s="14" t="n">
        <v>-40838065.7097318</v>
      </c>
    </row>
    <row r="63" customFormat="false" ht="15" hidden="false" customHeight="false" outlineLevel="0" collapsed="false">
      <c r="A63" s="13" t="n">
        <v>2014</v>
      </c>
      <c r="B63" s="13" t="s">
        <v>486</v>
      </c>
      <c r="C63" s="14" t="n">
        <v>52743288.23135</v>
      </c>
      <c r="D63" s="14" t="n">
        <v>60326959.42059</v>
      </c>
      <c r="E63" s="14" t="n">
        <v>82468010.92606</v>
      </c>
      <c r="F63" s="14" t="n">
        <v>100279603.08081</v>
      </c>
      <c r="G63" s="14" t="n">
        <v>125857949.02181</v>
      </c>
      <c r="H63" s="14" t="n">
        <v>149184736.93718</v>
      </c>
      <c r="I63" s="14" t="n">
        <v>133134233.37472</v>
      </c>
      <c r="J63" s="14" t="n">
        <v>156461021.29009</v>
      </c>
      <c r="K63" s="14" t="n">
        <v>52751707.8430564</v>
      </c>
      <c r="L63" s="14" t="n">
        <v>-40093649.9663479</v>
      </c>
    </row>
    <row r="64" customFormat="false" ht="15" hidden="false" customHeight="false" outlineLevel="0" collapsed="false">
      <c r="A64" s="13" t="n">
        <v>2014</v>
      </c>
      <c r="B64" s="13" t="s">
        <v>487</v>
      </c>
      <c r="C64" s="14" t="n">
        <v>57946427.27414</v>
      </c>
      <c r="D64" s="14" t="n">
        <v>65694033.7486</v>
      </c>
      <c r="E64" s="14" t="n">
        <v>91779603.60087</v>
      </c>
      <c r="F64" s="14" t="n">
        <v>109988091.95566</v>
      </c>
      <c r="G64" s="14" t="n">
        <v>136582325.15187</v>
      </c>
      <c r="H64" s="14" t="n">
        <v>160278860.70871</v>
      </c>
      <c r="I64" s="14" t="n">
        <v>144239010.42366</v>
      </c>
      <c r="J64" s="14" t="n">
        <v>167935545.9805</v>
      </c>
      <c r="K64" s="14" t="n">
        <v>61256800.3818153</v>
      </c>
      <c r="L64" s="14" t="n">
        <v>-29328915.7597214</v>
      </c>
    </row>
    <row r="66" customFormat="false" ht="54.75" hidden="false" customHeight="true" outlineLevel="0" collapsed="false">
      <c r="A66" s="5" t="s">
        <v>488</v>
      </c>
      <c r="B66" s="5"/>
      <c r="C66" s="5"/>
      <c r="D66" s="5"/>
      <c r="E66" s="5"/>
      <c r="F66" s="5"/>
      <c r="G66" s="5"/>
      <c r="H66" s="5"/>
      <c r="I66" s="5"/>
      <c r="J66" s="5"/>
      <c r="K66" s="5"/>
      <c r="L66" s="5"/>
      <c r="M66" s="5"/>
      <c r="N66" s="5"/>
    </row>
  </sheetData>
  <mergeCells count="3">
    <mergeCell ref="A1:N1"/>
    <mergeCell ref="A2:N2"/>
    <mergeCell ref="A66:N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6" min="2" style="0" width="15"/>
  </cols>
  <sheetData>
    <row r="1" customFormat="false" ht="15" hidden="false" customHeight="false" outlineLevel="0" collapsed="false">
      <c r="A1" s="1" t="s">
        <v>489</v>
      </c>
      <c r="B1" s="1"/>
      <c r="C1" s="1"/>
      <c r="D1" s="1"/>
      <c r="E1" s="1"/>
      <c r="F1" s="1"/>
    </row>
    <row r="3" customFormat="false" ht="15" hidden="false" customHeight="false" outlineLevel="0" collapsed="false">
      <c r="A3" s="10" t="s">
        <v>490</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22" t="s">
        <v>491</v>
      </c>
      <c r="B5" s="14" t="n">
        <v>-8691731.55303431</v>
      </c>
      <c r="C5" s="14" t="n">
        <v>-10478457.1404239</v>
      </c>
      <c r="D5" s="14" t="n">
        <v>-15721371.4598675</v>
      </c>
      <c r="E5" s="14" t="n">
        <v>-19318663.7644303</v>
      </c>
      <c r="F5" s="14" t="n">
        <v>-17166939.618615</v>
      </c>
    </row>
    <row r="6" customFormat="false" ht="15" hidden="false" customHeight="false" outlineLevel="0" collapsed="false">
      <c r="A6" s="22" t="s">
        <v>492</v>
      </c>
      <c r="B6" s="14" t="n">
        <v>-1791991.7112964</v>
      </c>
      <c r="C6" s="14" t="n">
        <v>-2929277.0814016</v>
      </c>
      <c r="D6" s="14" t="n">
        <v>-4127381.5343516</v>
      </c>
      <c r="E6" s="14" t="n">
        <v>-4798833.4388716</v>
      </c>
      <c r="F6" s="14" t="n">
        <v>-5659961.5156344</v>
      </c>
    </row>
    <row r="7" customFormat="false" ht="15" hidden="false" customHeight="false" outlineLevel="0" collapsed="false">
      <c r="A7" s="22" t="s">
        <v>493</v>
      </c>
      <c r="B7" s="14" t="n">
        <v>-7149159.5045942</v>
      </c>
      <c r="C7" s="14" t="n">
        <v>-10997659.7481198</v>
      </c>
      <c r="D7" s="14" t="n">
        <v>-13879102.3209478</v>
      </c>
      <c r="E7" s="14" t="n">
        <v>-15040875.7672036</v>
      </c>
      <c r="F7" s="14" t="n">
        <v>-11780132.019612</v>
      </c>
    </row>
    <row r="8" customFormat="false" ht="15" hidden="false" customHeight="false" outlineLevel="0" collapsed="false">
      <c r="A8" s="22" t="s">
        <v>494</v>
      </c>
      <c r="B8" s="14" t="n">
        <v>-1400834.249466</v>
      </c>
      <c r="C8" s="14" t="n">
        <v>1232327.745123</v>
      </c>
      <c r="D8" s="14" t="n">
        <v>4412015.2503878</v>
      </c>
      <c r="E8" s="14" t="n">
        <v>5345275.1578138</v>
      </c>
      <c r="F8" s="14" t="n">
        <v>5278117.39414</v>
      </c>
    </row>
    <row r="9" customFormat="false" ht="15" hidden="false" customHeight="false" outlineLevel="0" collapsed="false">
      <c r="A9" s="10" t="s">
        <v>495</v>
      </c>
      <c r="B9" s="16" t="n">
        <v>-19033717.0183909</v>
      </c>
      <c r="C9" s="16" t="n">
        <v>-23173066.2248223</v>
      </c>
      <c r="D9" s="16" t="n">
        <v>-29315840.0647791</v>
      </c>
      <c r="E9" s="16" t="n">
        <v>-33813097.8126917</v>
      </c>
      <c r="F9" s="16" t="n">
        <v>-29328915.7597214</v>
      </c>
    </row>
    <row r="11" customFormat="false" ht="15" hidden="false" customHeight="false" outlineLevel="0" collapsed="false">
      <c r="A11" s="10" t="s">
        <v>496</v>
      </c>
    </row>
    <row r="12" customFormat="false" ht="15" hidden="false" customHeight="false" outlineLevel="0" collapsed="false">
      <c r="A12" s="12" t="s">
        <v>405</v>
      </c>
      <c r="B12" s="12" t="n">
        <v>2010</v>
      </c>
      <c r="C12" s="12" t="n">
        <v>2011</v>
      </c>
      <c r="D12" s="12" t="n">
        <v>2012</v>
      </c>
      <c r="E12" s="12" t="n">
        <v>2013</v>
      </c>
      <c r="F12" s="12" t="n">
        <v>2014</v>
      </c>
    </row>
    <row r="13" customFormat="false" ht="15" hidden="false" customHeight="false" outlineLevel="0" collapsed="false">
      <c r="A13" s="22" t="s">
        <v>497</v>
      </c>
      <c r="B13" s="14" t="n">
        <v>75996</v>
      </c>
      <c r="C13" s="14" t="n">
        <v>0</v>
      </c>
      <c r="D13" s="14" t="n">
        <v>3430</v>
      </c>
      <c r="E13" s="14" t="n">
        <v>4117372</v>
      </c>
      <c r="F13" s="14" t="n">
        <v>4120716</v>
      </c>
    </row>
    <row r="15" customFormat="false" ht="15" hidden="false" customHeight="false" outlineLevel="0" collapsed="false">
      <c r="A15" s="10" t="s">
        <v>498</v>
      </c>
    </row>
    <row r="16" customFormat="false" ht="15" hidden="false" customHeight="false" outlineLevel="0" collapsed="false">
      <c r="A16" s="12" t="s">
        <v>405</v>
      </c>
      <c r="B16" s="12" t="n">
        <v>2010</v>
      </c>
      <c r="C16" s="12" t="n">
        <v>2011</v>
      </c>
      <c r="D16" s="12" t="n">
        <v>2012</v>
      </c>
      <c r="E16" s="12" t="n">
        <v>2013</v>
      </c>
      <c r="F16" s="12" t="n">
        <v>2014</v>
      </c>
    </row>
    <row r="17" customFormat="false" ht="15" hidden="false" customHeight="false" outlineLevel="0" collapsed="false">
      <c r="A17" s="22" t="s">
        <v>499</v>
      </c>
      <c r="B17" s="14" t="n">
        <v>4435.963</v>
      </c>
      <c r="C17" s="14" t="n">
        <v>6473.485</v>
      </c>
      <c r="D17" s="14" t="n">
        <v>7495.06598606</v>
      </c>
      <c r="E17" s="14" t="n">
        <v>9650.373</v>
      </c>
      <c r="F17" s="14" t="n">
        <v>8866.863</v>
      </c>
    </row>
    <row r="18" customFormat="false" ht="15" hidden="false" customHeight="false" outlineLevel="0" collapsed="false">
      <c r="A18" s="22" t="s">
        <v>500</v>
      </c>
      <c r="B18" s="14" t="n">
        <v>3485</v>
      </c>
      <c r="C18" s="14" t="n">
        <v>3138</v>
      </c>
      <c r="D18" s="14" t="n">
        <v>1362.483</v>
      </c>
      <c r="E18" s="14" t="n">
        <v>1286.128</v>
      </c>
      <c r="F18" s="14" t="n">
        <v>2786.898</v>
      </c>
    </row>
    <row r="19" customFormat="false" ht="15" hidden="false" customHeight="false" outlineLevel="0" collapsed="false">
      <c r="A19" s="22" t="s">
        <v>501</v>
      </c>
      <c r="B19" s="14" t="n">
        <v>28.00351034</v>
      </c>
      <c r="C19" s="14" t="n">
        <v>249.50203243</v>
      </c>
      <c r="D19" s="14" t="n">
        <v>133.589</v>
      </c>
      <c r="E19" s="14" t="n">
        <v>329.633</v>
      </c>
      <c r="F19" s="14" t="n">
        <v>1143.451</v>
      </c>
    </row>
    <row r="20" customFormat="false" ht="15" hidden="false" customHeight="false" outlineLevel="0" collapsed="false">
      <c r="A20" s="22" t="s">
        <v>502</v>
      </c>
      <c r="B20" s="14" t="n">
        <v>1606.27132912384</v>
      </c>
      <c r="C20" s="14" t="n">
        <v>2167.74985937345</v>
      </c>
      <c r="D20" s="14" t="n">
        <v>2447.13685648346</v>
      </c>
      <c r="E20" s="14" t="n">
        <v>3006.68718999324</v>
      </c>
      <c r="F20" s="14" t="n">
        <v>5922.0622131292</v>
      </c>
    </row>
    <row r="21" customFormat="false" ht="15" hidden="false" customHeight="false" outlineLevel="0" collapsed="false">
      <c r="A21" s="10" t="s">
        <v>392</v>
      </c>
      <c r="B21" s="16" t="n">
        <v>9555.23783946383</v>
      </c>
      <c r="C21" s="16" t="n">
        <v>12028.7368918035</v>
      </c>
      <c r="D21" s="16" t="n">
        <v>11438.2748425435</v>
      </c>
      <c r="E21" s="16" t="n">
        <v>19708.5540177428</v>
      </c>
      <c r="F21" s="16" t="n">
        <v>24770.2292131292</v>
      </c>
    </row>
    <row r="23" customFormat="false" ht="42" hidden="false" customHeight="true" outlineLevel="0" collapsed="false">
      <c r="A23" s="5" t="s">
        <v>503</v>
      </c>
      <c r="B23" s="5"/>
      <c r="C23" s="5"/>
      <c r="D23" s="5"/>
      <c r="E23" s="5"/>
      <c r="F23" s="5"/>
    </row>
  </sheetData>
  <mergeCells count="2">
    <mergeCell ref="A1:F1"/>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3"/>
  </cols>
  <sheetData>
    <row r="1" customFormat="false" ht="15" hidden="false" customHeight="false" outlineLevel="0" collapsed="false">
      <c r="A1" s="1" t="s">
        <v>504</v>
      </c>
      <c r="B1" s="1"/>
      <c r="C1" s="1"/>
      <c r="D1" s="1"/>
      <c r="E1" s="1"/>
      <c r="F1" s="1"/>
    </row>
    <row r="3" customFormat="false" ht="15" hidden="false" customHeight="false" outlineLevel="0" collapsed="false">
      <c r="A3" s="10" t="s">
        <v>505</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22" t="s">
        <v>506</v>
      </c>
      <c r="B5" s="23" t="n">
        <v>4.72815532771888</v>
      </c>
      <c r="C5" s="23" t="n">
        <v>5.82914854349547</v>
      </c>
      <c r="D5" s="23" t="n">
        <v>6.30929934869204</v>
      </c>
      <c r="E5" s="23" t="n">
        <v>6.26515307652968</v>
      </c>
      <c r="F5" s="23" t="n">
        <v>6.53480309991989</v>
      </c>
    </row>
    <row r="6" customFormat="false" ht="15" hidden="false" customHeight="false" outlineLevel="0" collapsed="false">
      <c r="A6" s="22" t="s">
        <v>507</v>
      </c>
      <c r="B6" s="23" t="n">
        <v>7.79456073295512</v>
      </c>
      <c r="C6" s="23" t="n">
        <v>7.9977422434758</v>
      </c>
      <c r="D6" s="23" t="n">
        <v>8.29498385236329</v>
      </c>
      <c r="E6" s="23" t="n">
        <v>8.08897428593383</v>
      </c>
      <c r="F6" s="23" t="n">
        <v>7.6250256814529</v>
      </c>
    </row>
    <row r="7" customFormat="false" ht="15" hidden="false" customHeight="false" outlineLevel="0" collapsed="false">
      <c r="A7" s="22" t="s">
        <v>508</v>
      </c>
      <c r="B7" s="23" t="n">
        <v>0.604139970519589</v>
      </c>
      <c r="C7" s="23" t="n">
        <v>0.756658571532611</v>
      </c>
      <c r="D7" s="23" t="n">
        <v>0.810254218325246</v>
      </c>
      <c r="E7" s="23" t="n">
        <v>1.09387037134838</v>
      </c>
      <c r="F7" s="23" t="n">
        <v>1.87537007224569</v>
      </c>
    </row>
    <row r="8" customFormat="false" ht="15" hidden="false" customHeight="false" outlineLevel="0" collapsed="false">
      <c r="A8" s="22" t="s">
        <v>509</v>
      </c>
      <c r="B8" s="23" t="n">
        <v>0.594426317750631</v>
      </c>
      <c r="C8" s="23" t="n">
        <v>0.638117333527907</v>
      </c>
      <c r="D8" s="23" t="n">
        <v>0.570262941796316</v>
      </c>
      <c r="E8" s="23" t="n">
        <v>0.503929063683174</v>
      </c>
      <c r="F8" s="23" t="n">
        <v>0.545019085178685</v>
      </c>
    </row>
    <row r="9" customFormat="false" ht="15" hidden="false" customHeight="false" outlineLevel="0" collapsed="false">
      <c r="A9" s="22" t="s">
        <v>510</v>
      </c>
      <c r="B9" s="23" t="n">
        <v>0.470653072571068</v>
      </c>
      <c r="C9" s="23" t="n">
        <v>0.783594378685379</v>
      </c>
      <c r="D9" s="23" t="n">
        <v>0.828002908818075</v>
      </c>
      <c r="E9" s="23" t="n">
        <v>0.988395432644737</v>
      </c>
      <c r="F9" s="23" t="n">
        <v>0.897171432095748</v>
      </c>
    </row>
    <row r="10" customFormat="false" ht="15" hidden="false" customHeight="false" outlineLevel="0" collapsed="false">
      <c r="A10" s="22" t="s">
        <v>511</v>
      </c>
      <c r="B10" s="23" t="n">
        <v>0.198923229129052</v>
      </c>
      <c r="C10" s="23" t="n">
        <v>0.128970244658463</v>
      </c>
      <c r="D10" s="23" t="n">
        <v>0.0954677351512029</v>
      </c>
      <c r="E10" s="23" t="n">
        <v>0.0695227572411083</v>
      </c>
      <c r="F10" s="23" t="n">
        <v>0.039106299397406</v>
      </c>
    </row>
    <row r="12" customFormat="false" ht="39.75" hidden="false" customHeight="true" outlineLevel="0" collapsed="false">
      <c r="A12" s="5" t="s">
        <v>512</v>
      </c>
      <c r="B12" s="5"/>
      <c r="C12" s="5"/>
      <c r="D12" s="5"/>
      <c r="E12" s="5"/>
      <c r="F12" s="5"/>
    </row>
    <row r="14" customFormat="false" ht="15" hidden="false" customHeight="false" outlineLevel="0" collapsed="false">
      <c r="A14" s="10" t="s">
        <v>513</v>
      </c>
    </row>
    <row r="15" customFormat="false" ht="15" hidden="false" customHeight="false" outlineLevel="0" collapsed="false">
      <c r="A15" s="12" t="s">
        <v>405</v>
      </c>
      <c r="B15" s="12" t="n">
        <v>2010</v>
      </c>
      <c r="C15" s="12" t="n">
        <v>2011</v>
      </c>
      <c r="D15" s="12" t="n">
        <v>2012</v>
      </c>
      <c r="E15" s="12" t="n">
        <v>2013</v>
      </c>
      <c r="F15" s="12" t="n">
        <v>2014</v>
      </c>
    </row>
    <row r="16" customFormat="false" ht="15" hidden="false" customHeight="false" outlineLevel="0" collapsed="false">
      <c r="A16" s="22" t="s">
        <v>514</v>
      </c>
      <c r="B16" s="26" t="n">
        <v>12</v>
      </c>
      <c r="C16" s="26" t="n">
        <v>12</v>
      </c>
      <c r="D16" s="26" t="n">
        <v>12</v>
      </c>
      <c r="E16" s="26" t="n">
        <v>12</v>
      </c>
      <c r="F16" s="26" t="n">
        <v>12</v>
      </c>
    </row>
    <row r="17" customFormat="false" ht="15" hidden="false" customHeight="false" outlineLevel="0" collapsed="false">
      <c r="A17" s="22" t="s">
        <v>515</v>
      </c>
      <c r="B17" s="26" t="n">
        <v>60.5</v>
      </c>
      <c r="C17" s="26" t="n">
        <v>66.5</v>
      </c>
      <c r="D17" s="26" t="n">
        <v>66.5</v>
      </c>
      <c r="E17" s="26" t="n">
        <v>66.5</v>
      </c>
      <c r="F17" s="26" t="n">
        <v>66.5</v>
      </c>
    </row>
    <row r="18" customFormat="false" ht="15" hidden="false" customHeight="false" outlineLevel="0" collapsed="false">
      <c r="A18" s="22" t="s">
        <v>516</v>
      </c>
      <c r="B18" s="26" t="n">
        <v>12</v>
      </c>
      <c r="C18" s="26" t="n">
        <v>12</v>
      </c>
      <c r="D18" s="26" t="n">
        <v>12</v>
      </c>
      <c r="E18" s="26" t="n">
        <v>12</v>
      </c>
      <c r="F18" s="26" t="n">
        <v>12</v>
      </c>
    </row>
    <row r="19" customFormat="false" ht="15" hidden="false" customHeight="false" outlineLevel="0" collapsed="false">
      <c r="A19" s="22" t="s">
        <v>517</v>
      </c>
      <c r="B19" s="26" t="n">
        <v>60.5</v>
      </c>
      <c r="C19" s="26" t="n">
        <v>66.5</v>
      </c>
      <c r="D19" s="26" t="n">
        <v>66.5</v>
      </c>
      <c r="E19" s="26" t="n">
        <v>66.5</v>
      </c>
      <c r="F19" s="26" t="n">
        <v>66.5</v>
      </c>
    </row>
    <row r="20" customFormat="false" ht="15" hidden="false" customHeight="false" outlineLevel="0" collapsed="false">
      <c r="A20" s="22" t="s">
        <v>518</v>
      </c>
      <c r="B20" s="26" t="n">
        <v>12</v>
      </c>
      <c r="C20" s="26" t="n">
        <v>12</v>
      </c>
      <c r="D20" s="26" t="n">
        <v>12</v>
      </c>
      <c r="E20" s="26" t="n">
        <v>12</v>
      </c>
      <c r="F20" s="26" t="n">
        <v>12</v>
      </c>
    </row>
    <row r="21" customFormat="false" ht="15" hidden="false" customHeight="false" outlineLevel="0" collapsed="false">
      <c r="A21" s="22" t="s">
        <v>519</v>
      </c>
      <c r="B21" s="26" t="n">
        <v>60.5</v>
      </c>
      <c r="C21" s="26" t="n">
        <v>66.5</v>
      </c>
      <c r="D21" s="26" t="n">
        <v>66.5</v>
      </c>
      <c r="E21" s="26" t="n">
        <v>66.5</v>
      </c>
      <c r="F21" s="26" t="n">
        <v>66.5</v>
      </c>
    </row>
    <row r="22" customFormat="false" ht="15" hidden="false" customHeight="false" outlineLevel="0" collapsed="false">
      <c r="A22" s="22" t="s">
        <v>520</v>
      </c>
      <c r="B22" s="26" t="n">
        <v>100</v>
      </c>
      <c r="C22" s="26" t="n">
        <v>100</v>
      </c>
      <c r="D22" s="26" t="n">
        <v>100</v>
      </c>
      <c r="E22" s="26" t="n">
        <v>100</v>
      </c>
      <c r="F22" s="26" t="n">
        <v>100</v>
      </c>
    </row>
    <row r="23" customFormat="false" ht="15" hidden="false" customHeight="false" outlineLevel="0" collapsed="false">
      <c r="A23" s="22" t="s">
        <v>521</v>
      </c>
      <c r="B23" s="26" t="n">
        <v>100</v>
      </c>
      <c r="C23" s="26" t="n">
        <v>100</v>
      </c>
      <c r="D23" s="26" t="n">
        <v>100</v>
      </c>
      <c r="E23" s="26" t="n">
        <v>100</v>
      </c>
      <c r="F23" s="26" t="n">
        <v>100</v>
      </c>
    </row>
    <row r="25" customFormat="false" ht="15" hidden="false" customHeight="false" outlineLevel="0" collapsed="false">
      <c r="A25" s="5" t="s">
        <v>522</v>
      </c>
      <c r="B25" s="5"/>
      <c r="C25" s="5"/>
      <c r="D25" s="5"/>
      <c r="E25" s="5"/>
      <c r="F25" s="5"/>
    </row>
  </sheetData>
  <mergeCells count="3">
    <mergeCell ref="A1:F1"/>
    <mergeCell ref="A12:F12"/>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5"/>
  </cols>
  <sheetData>
    <row r="1" customFormat="false" ht="15" hidden="false" customHeight="false" outlineLevel="0" collapsed="false">
      <c r="A1" s="1" t="s">
        <v>523</v>
      </c>
      <c r="B1" s="1"/>
      <c r="C1" s="1"/>
      <c r="D1" s="1"/>
      <c r="E1" s="1"/>
      <c r="F1" s="1"/>
    </row>
    <row r="2" customFormat="false" ht="15" hidden="false" customHeight="false" outlineLevel="0" collapsed="false">
      <c r="A2" s="11" t="s">
        <v>524</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10" t="s">
        <v>525</v>
      </c>
      <c r="B5" s="16" t="n">
        <v>49207945.3708683</v>
      </c>
      <c r="C5" s="16" t="n">
        <v>60422136.893964</v>
      </c>
      <c r="D5" s="16" t="n">
        <v>72089562.4004197</v>
      </c>
      <c r="E5" s="16" t="n">
        <v>85610908.5270196</v>
      </c>
      <c r="F5" s="16" t="n">
        <v>98597044.957419</v>
      </c>
    </row>
    <row r="6" customFormat="false" ht="15" hidden="false" customHeight="false" outlineLevel="0" collapsed="false">
      <c r="A6" s="15" t="s">
        <v>526</v>
      </c>
      <c r="B6" s="14" t="n">
        <v>12015305.3977763</v>
      </c>
      <c r="C6" s="14" t="n">
        <v>14173140.7137551</v>
      </c>
      <c r="D6" s="14" t="n">
        <v>18977729.4198834</v>
      </c>
      <c r="E6" s="14" t="n">
        <v>23547096.4356453</v>
      </c>
      <c r="F6" s="14" t="n">
        <v>27424748.1622978</v>
      </c>
    </row>
    <row r="8" customFormat="false" ht="15" hidden="false" customHeight="false" outlineLevel="0" collapsed="false">
      <c r="A8" s="10" t="s">
        <v>527</v>
      </c>
    </row>
    <row r="9" customFormat="false" ht="15" hidden="false" customHeight="false" outlineLevel="0" collapsed="false">
      <c r="A9" s="22" t="s">
        <v>514</v>
      </c>
      <c r="B9" s="14" t="n">
        <v>9336894.670877</v>
      </c>
      <c r="C9" s="14" t="n">
        <v>11275803.3391625</v>
      </c>
      <c r="D9" s="14" t="n">
        <v>14992059.8030403</v>
      </c>
      <c r="E9" s="14" t="n">
        <v>17809671.84967</v>
      </c>
      <c r="F9" s="14" t="n">
        <v>21275663.93624</v>
      </c>
    </row>
    <row r="10" customFormat="false" ht="15" hidden="false" customHeight="false" outlineLevel="0" collapsed="false">
      <c r="A10" s="22" t="s">
        <v>515</v>
      </c>
      <c r="B10" s="14" t="n">
        <v>5353928.45319</v>
      </c>
      <c r="C10" s="14" t="n">
        <v>5728778.025215</v>
      </c>
      <c r="D10" s="14" t="n">
        <v>6700957.1631342</v>
      </c>
      <c r="E10" s="14" t="n">
        <v>7454032.92218</v>
      </c>
      <c r="F10" s="14" t="n">
        <v>7747479.48446</v>
      </c>
    </row>
    <row r="11" customFormat="false" ht="15" hidden="false" customHeight="false" outlineLevel="0" collapsed="false">
      <c r="A11" s="22" t="s">
        <v>516</v>
      </c>
      <c r="B11" s="14" t="n">
        <v>13394686.474487</v>
      </c>
      <c r="C11" s="14" t="n">
        <v>18227863.6273125</v>
      </c>
      <c r="D11" s="14" t="n">
        <v>22247917.8014355</v>
      </c>
      <c r="E11" s="14" t="n">
        <v>27831642.04945</v>
      </c>
      <c r="F11" s="14" t="n">
        <v>33822684.85337</v>
      </c>
    </row>
    <row r="12" customFormat="false" ht="15" hidden="false" customHeight="false" outlineLevel="0" collapsed="false">
      <c r="A12" s="22" t="s">
        <v>517</v>
      </c>
      <c r="B12" s="14" t="n">
        <v>8585127.738829</v>
      </c>
      <c r="C12" s="14" t="n">
        <v>9386845.1318275</v>
      </c>
      <c r="D12" s="14" t="n">
        <v>9390558.23171526</v>
      </c>
      <c r="E12" s="14" t="n">
        <v>10014749.58378</v>
      </c>
      <c r="F12" s="14" t="n">
        <v>10460881.88033</v>
      </c>
    </row>
    <row r="13" customFormat="false" ht="15" hidden="false" customHeight="false" outlineLevel="0" collapsed="false">
      <c r="A13" s="22" t="s">
        <v>518</v>
      </c>
      <c r="B13" s="14" t="n">
        <v>10558352.09296</v>
      </c>
      <c r="C13" s="14" t="n">
        <v>16707491.46065</v>
      </c>
      <c r="D13" s="14" t="n">
        <v>26997357.58547</v>
      </c>
      <c r="E13" s="14" t="n">
        <v>34403244.39966</v>
      </c>
      <c r="F13" s="14" t="n">
        <v>42442072.69577</v>
      </c>
    </row>
    <row r="14" customFormat="false" ht="15" hidden="false" customHeight="false" outlineLevel="0" collapsed="false">
      <c r="A14" s="22" t="s">
        <v>519</v>
      </c>
      <c r="B14" s="14" t="n">
        <v>12347481.637356</v>
      </c>
      <c r="C14" s="14" t="n">
        <v>10335651.3339375</v>
      </c>
      <c r="D14" s="14" t="n">
        <v>7809963.81852854</v>
      </c>
      <c r="E14" s="14" t="n">
        <v>5551870.82797</v>
      </c>
      <c r="F14" s="14" t="n">
        <v>4505336.68175</v>
      </c>
    </row>
    <row r="15" customFormat="false" ht="15" hidden="false" customHeight="false" outlineLevel="0" collapsed="false">
      <c r="A15" s="10" t="s">
        <v>528</v>
      </c>
      <c r="B15" s="16" t="n">
        <v>33289933.238324</v>
      </c>
      <c r="C15" s="16" t="n">
        <v>46211158.427125</v>
      </c>
      <c r="D15" s="16" t="n">
        <v>64237335.1899457</v>
      </c>
      <c r="E15" s="16" t="n">
        <v>80044558.29878</v>
      </c>
      <c r="F15" s="16" t="n">
        <v>97540421.48538</v>
      </c>
    </row>
    <row r="16" customFormat="false" ht="15" hidden="false" customHeight="false" outlineLevel="0" collapsed="false">
      <c r="A16" s="10" t="s">
        <v>529</v>
      </c>
      <c r="B16" s="16" t="n">
        <v>26286537.829375</v>
      </c>
      <c r="C16" s="16" t="n">
        <v>25451274.49098</v>
      </c>
      <c r="D16" s="16" t="n">
        <v>23901479.213378</v>
      </c>
      <c r="E16" s="16" t="n">
        <v>23020653.33393</v>
      </c>
      <c r="F16" s="16" t="n">
        <v>22713698.04654</v>
      </c>
    </row>
    <row r="17" customFormat="false" ht="15" hidden="false" customHeight="false" outlineLevel="0" collapsed="false">
      <c r="A17" s="27" t="s">
        <v>530</v>
      </c>
      <c r="B17" s="28" t="n">
        <f aca="false">100*B16/(B15+B16)</f>
        <v>44.122347897217</v>
      </c>
      <c r="C17" s="28" t="n">
        <f aca="false">100*C16/(C15+C16)</f>
        <v>35.5155043648398</v>
      </c>
      <c r="D17" s="28" t="n">
        <f aca="false">100*D16/(D15+D16)</f>
        <v>27.1179949210625</v>
      </c>
      <c r="E17" s="28" t="n">
        <f aca="false">100*E16/(E15+E16)</f>
        <v>22.3360074357271</v>
      </c>
      <c r="F17" s="28" t="n">
        <f aca="false">100*F16/(F15+F16)</f>
        <v>18.888083115116</v>
      </c>
    </row>
    <row r="19" customFormat="false" ht="60" hidden="false" customHeight="true" outlineLevel="0" collapsed="false">
      <c r="A19" s="29" t="s">
        <v>531</v>
      </c>
      <c r="B19" s="29"/>
      <c r="C19" s="29"/>
      <c r="D19" s="29"/>
      <c r="E19" s="29"/>
      <c r="F19" s="29"/>
    </row>
  </sheetData>
  <mergeCells count="2">
    <mergeCell ref="A1:F1"/>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4"/>
  </cols>
  <sheetData>
    <row r="1" customFormat="false" ht="15" hidden="false" customHeight="false" outlineLevel="0" collapsed="false">
      <c r="A1" s="1" t="s">
        <v>532</v>
      </c>
      <c r="B1" s="1"/>
      <c r="C1" s="1"/>
      <c r="D1" s="1"/>
      <c r="E1" s="1"/>
      <c r="F1" s="1"/>
    </row>
    <row r="3" customFormat="false" ht="15" hidden="false" customHeight="false" outlineLevel="0" collapsed="false">
      <c r="A3" s="10" t="s">
        <v>533</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10" t="s">
        <v>534</v>
      </c>
      <c r="B5" s="24" t="n">
        <v>9729.6547297</v>
      </c>
      <c r="C5" s="24" t="n">
        <v>12018.54813094</v>
      </c>
      <c r="D5" s="24" t="n">
        <v>13926.72047721</v>
      </c>
      <c r="E5" s="24" t="n">
        <v>14430.14456939</v>
      </c>
      <c r="F5" s="24" t="n">
        <v>15122.84211717</v>
      </c>
    </row>
    <row r="7" customFormat="false" ht="15" hidden="false" customHeight="false" outlineLevel="0" collapsed="false">
      <c r="A7" s="10" t="s">
        <v>535</v>
      </c>
    </row>
    <row r="8" customFormat="false" ht="15" hidden="false" customHeight="false" outlineLevel="0" collapsed="false">
      <c r="A8" s="12" t="s">
        <v>405</v>
      </c>
      <c r="B8" s="12" t="n">
        <v>2010</v>
      </c>
      <c r="C8" s="12" t="n">
        <v>2011</v>
      </c>
      <c r="D8" s="12" t="n">
        <v>2012</v>
      </c>
      <c r="E8" s="12" t="n">
        <v>2013</v>
      </c>
      <c r="F8" s="12" t="n">
        <v>2014</v>
      </c>
    </row>
    <row r="9" customFormat="false" ht="15" hidden="false" customHeight="false" outlineLevel="0" collapsed="false">
      <c r="A9" s="22" t="s">
        <v>536</v>
      </c>
      <c r="B9" s="24" t="n">
        <v>765.579268860934</v>
      </c>
      <c r="C9" s="24" t="n">
        <v>76.598355964301</v>
      </c>
      <c r="D9" s="24" t="n">
        <v>1970.04096857203</v>
      </c>
      <c r="E9" s="24" t="n">
        <v>1054.17391046579</v>
      </c>
      <c r="F9" s="24" t="n">
        <v>576.662385219061</v>
      </c>
    </row>
    <row r="10" customFormat="false" ht="15" hidden="false" customHeight="false" outlineLevel="0" collapsed="false">
      <c r="A10" s="22" t="s">
        <v>537</v>
      </c>
      <c r="B10" s="24" t="n">
        <v>811.645988746984</v>
      </c>
      <c r="C10" s="24" t="n">
        <v>430.901536771035</v>
      </c>
      <c r="D10" s="24" t="n">
        <v>2675.6719981506</v>
      </c>
      <c r="E10" s="24" t="n">
        <v>2318.92084855488</v>
      </c>
      <c r="F10" s="24" t="n">
        <v>2922.19277448649</v>
      </c>
    </row>
    <row r="11" customFormat="false" ht="15" hidden="false" customHeight="false" outlineLevel="0" collapsed="false">
      <c r="A11" s="22" t="s">
        <v>538</v>
      </c>
      <c r="B11" s="24" t="n">
        <v>-263.375297087756</v>
      </c>
      <c r="C11" s="24" t="n">
        <v>-368.821574514791</v>
      </c>
      <c r="D11" s="24" t="n">
        <v>-342.116434443821</v>
      </c>
      <c r="E11" s="24" t="n">
        <v>-626.77553580986</v>
      </c>
      <c r="F11" s="24" t="n">
        <v>-1828.80162772099</v>
      </c>
    </row>
    <row r="12" customFormat="false" ht="15" hidden="false" customHeight="false" outlineLevel="0" collapsed="false">
      <c r="A12" s="22" t="s">
        <v>539</v>
      </c>
      <c r="B12" s="24" t="n">
        <v>-922.969497615384</v>
      </c>
      <c r="C12" s="24" t="n">
        <v>-2160.00313020158</v>
      </c>
      <c r="D12" s="24" t="n">
        <v>-1711.64009209276</v>
      </c>
      <c r="E12" s="24" t="n">
        <v>-1121.61733017216</v>
      </c>
      <c r="F12" s="24" t="n">
        <v>-932.259107446612</v>
      </c>
    </row>
    <row r="14" customFormat="false" ht="39.75" hidden="false" customHeight="true" outlineLevel="0" collapsed="false">
      <c r="A14" s="5" t="s">
        <v>540</v>
      </c>
      <c r="B14" s="5"/>
      <c r="C14" s="5"/>
      <c r="D14" s="5"/>
      <c r="E14" s="5"/>
      <c r="F14" s="5"/>
    </row>
    <row r="16" customFormat="false" ht="15" hidden="false" customHeight="false" outlineLevel="0" collapsed="false">
      <c r="A16" s="10" t="s">
        <v>541</v>
      </c>
    </row>
    <row r="17" customFormat="false" ht="15" hidden="false" customHeight="false" outlineLevel="0" collapsed="false">
      <c r="A17" s="12" t="s">
        <v>405</v>
      </c>
      <c r="B17" s="12" t="n">
        <v>2010</v>
      </c>
      <c r="C17" s="12" t="n">
        <v>2011</v>
      </c>
      <c r="D17" s="12" t="n">
        <v>2012</v>
      </c>
      <c r="E17" s="12" t="n">
        <v>2013</v>
      </c>
      <c r="F17" s="12" t="n">
        <v>2014</v>
      </c>
    </row>
    <row r="18" customFormat="false" ht="15" hidden="false" customHeight="false" outlineLevel="0" collapsed="false">
      <c r="A18" s="10" t="s">
        <v>542</v>
      </c>
      <c r="B18" s="25" t="n">
        <v>5603.873914</v>
      </c>
      <c r="C18" s="25" t="n">
        <v>7935.745581</v>
      </c>
      <c r="D18" s="25" t="n">
        <v>8590.086246</v>
      </c>
      <c r="E18" s="25" t="n">
        <v>9699.045879</v>
      </c>
      <c r="F18" s="25" t="n">
        <v>10674.100912</v>
      </c>
    </row>
    <row r="19" customFormat="false" ht="15" hidden="false" customHeight="false" outlineLevel="0" collapsed="false">
      <c r="A19" s="15" t="s">
        <v>543</v>
      </c>
      <c r="B19" s="24" t="n">
        <v>7052.12765426</v>
      </c>
      <c r="C19" s="24" t="n">
        <v>9215.28023943</v>
      </c>
      <c r="D19" s="24" t="n">
        <v>11991.13295187</v>
      </c>
      <c r="E19" s="24" t="n">
        <v>12371.61546902</v>
      </c>
      <c r="F19" s="24" t="n">
        <v>13034.22024128</v>
      </c>
    </row>
    <row r="20" customFormat="false" ht="15" hidden="false" customHeight="false" outlineLevel="0" collapsed="false">
      <c r="A20" s="27" t="s">
        <v>544</v>
      </c>
      <c r="B20" s="28" t="n">
        <f aca="false">B5/(B18/12)</f>
        <v>20.8348472053792</v>
      </c>
      <c r="C20" s="28" t="n">
        <f aca="false">C5/(C18/12)</f>
        <v>18.1737904900306</v>
      </c>
      <c r="D20" s="28" t="n">
        <f aca="false">D5/(D18/12)</f>
        <v>19.4550602800222</v>
      </c>
      <c r="E20" s="28" t="n">
        <f aca="false">E5/(E18/12)</f>
        <v>17.8534813622857</v>
      </c>
      <c r="F20" s="28" t="n">
        <f aca="false">F5/(F18/12)</f>
        <v>17.0013481137342</v>
      </c>
    </row>
    <row r="22" customFormat="false" ht="69.75" hidden="false" customHeight="true" outlineLevel="0" collapsed="false">
      <c r="A22" s="29" t="s">
        <v>545</v>
      </c>
      <c r="B22" s="29"/>
      <c r="C22" s="29"/>
      <c r="D22" s="29"/>
      <c r="E22" s="29"/>
      <c r="F22" s="29"/>
    </row>
    <row r="24" customFormat="false" ht="15" hidden="false" customHeight="false" outlineLevel="0" collapsed="false">
      <c r="A24" s="10" t="s">
        <v>546</v>
      </c>
    </row>
    <row r="25" customFormat="false" ht="15" hidden="false" customHeight="false" outlineLevel="0" collapsed="false">
      <c r="A25" s="12" t="s">
        <v>405</v>
      </c>
      <c r="B25" s="12" t="n">
        <v>2010</v>
      </c>
      <c r="C25" s="12" t="n">
        <v>2011</v>
      </c>
      <c r="D25" s="12" t="n">
        <v>2012</v>
      </c>
      <c r="E25" s="12" t="n">
        <v>2013</v>
      </c>
      <c r="F25" s="12" t="n">
        <v>2014</v>
      </c>
    </row>
    <row r="26" customFormat="false" ht="15" hidden="false" customHeight="false" outlineLevel="0" collapsed="false">
      <c r="A26" s="22" t="s">
        <v>547</v>
      </c>
      <c r="B26" s="19" t="n">
        <v>6.96795071684588</v>
      </c>
      <c r="C26" s="19" t="n">
        <v>6.88697119815668</v>
      </c>
      <c r="D26" s="19" t="n">
        <v>6.86030555555556</v>
      </c>
      <c r="E26" s="19" t="n">
        <v>6.86030555555556</v>
      </c>
      <c r="F26" s="19" t="n">
        <v>6.86</v>
      </c>
    </row>
    <row r="27" customFormat="false" ht="15" hidden="false" customHeight="false" outlineLevel="0" collapsed="false">
      <c r="A27" s="22" t="s">
        <v>548</v>
      </c>
      <c r="B27" s="19" t="n">
        <v>7.06795071684588</v>
      </c>
      <c r="C27" s="19" t="n">
        <v>6.98697119815668</v>
      </c>
      <c r="D27" s="19" t="n">
        <v>6.96030555555556</v>
      </c>
      <c r="E27" s="19" t="n">
        <v>6.96030555555556</v>
      </c>
      <c r="F27" s="19" t="n">
        <v>6.96</v>
      </c>
    </row>
    <row r="28" customFormat="false" ht="15" hidden="false" customHeight="false" outlineLevel="0" collapsed="false">
      <c r="A28" s="22" t="s">
        <v>549</v>
      </c>
      <c r="B28" s="19" t="n">
        <v>7.02075703139955</v>
      </c>
      <c r="C28" s="19" t="n">
        <v>6.89509825247718</v>
      </c>
      <c r="D28" s="19" t="n">
        <v>6.90794584227861</v>
      </c>
      <c r="E28" s="19" t="n">
        <v>6.90174932237256</v>
      </c>
      <c r="F28" s="19" t="n">
        <v>6.90254828266433</v>
      </c>
    </row>
    <row r="30" customFormat="false" ht="54.75" hidden="false" customHeight="true" outlineLevel="0" collapsed="false">
      <c r="A30" s="5" t="s">
        <v>550</v>
      </c>
      <c r="B30" s="5"/>
      <c r="C30" s="5"/>
      <c r="D30" s="5"/>
      <c r="E30" s="5"/>
      <c r="F30" s="5"/>
    </row>
  </sheetData>
  <mergeCells count="4">
    <mergeCell ref="A1:F1"/>
    <mergeCell ref="A14:F14"/>
    <mergeCell ref="A22:F22"/>
    <mergeCell ref="A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6" min="2" style="0" width="14"/>
  </cols>
  <sheetData>
    <row r="1" customFormat="false" ht="15" hidden="false" customHeight="false" outlineLevel="0" collapsed="false">
      <c r="A1" s="1" t="s">
        <v>551</v>
      </c>
      <c r="B1" s="1"/>
      <c r="C1" s="1"/>
      <c r="D1" s="1"/>
      <c r="E1" s="1"/>
      <c r="F1" s="1"/>
    </row>
    <row r="2" customFormat="false" ht="15" hidden="false" customHeight="false" outlineLevel="0" collapsed="false">
      <c r="A2" s="11" t="s">
        <v>552</v>
      </c>
    </row>
    <row r="4" customFormat="false" ht="15" hidden="false" customHeight="false" outlineLevel="0" collapsed="false">
      <c r="A4" s="12" t="s">
        <v>405</v>
      </c>
      <c r="B4" s="12" t="n">
        <v>2010</v>
      </c>
      <c r="C4" s="12" t="n">
        <v>2011</v>
      </c>
      <c r="D4" s="12" t="n">
        <v>2012</v>
      </c>
      <c r="E4" s="12" t="n">
        <v>2013</v>
      </c>
      <c r="F4" s="12" t="n">
        <v>2014</v>
      </c>
    </row>
    <row r="5" customFormat="false" ht="15" hidden="false" customHeight="false" outlineLevel="0" collapsed="false">
      <c r="A5" s="10" t="s">
        <v>553</v>
      </c>
      <c r="B5" s="25" t="n">
        <v>939.299507607662</v>
      </c>
      <c r="C5" s="25" t="n">
        <v>1012.30816107748</v>
      </c>
      <c r="D5" s="25" t="n">
        <v>1094.341362</v>
      </c>
      <c r="E5" s="25" t="n">
        <v>1181.829553</v>
      </c>
      <c r="F5" s="25" t="n">
        <v>1163.55318594214</v>
      </c>
    </row>
    <row r="7" customFormat="false" ht="39.75" hidden="false" customHeight="true" outlineLevel="0" collapsed="false">
      <c r="A7" s="5" t="s">
        <v>554</v>
      </c>
      <c r="B7" s="5"/>
      <c r="C7" s="5"/>
      <c r="D7" s="5"/>
      <c r="E7" s="5"/>
      <c r="F7" s="5"/>
    </row>
  </sheetData>
  <mergeCells count="2">
    <mergeCell ref="A1:F1"/>
    <mergeCell ref="A7:F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4"/>
  </cols>
  <sheetData>
    <row r="1" customFormat="false" ht="15" hidden="false" customHeight="false" outlineLevel="0" collapsed="false">
      <c r="A1" s="1" t="s">
        <v>555</v>
      </c>
      <c r="B1" s="1"/>
      <c r="C1" s="1"/>
      <c r="D1" s="1"/>
      <c r="E1" s="1"/>
      <c r="F1" s="1"/>
    </row>
    <row r="2" customFormat="false" ht="15" hidden="false" customHeight="false" outlineLevel="0" collapsed="false">
      <c r="A2" s="11" t="s">
        <v>556</v>
      </c>
    </row>
    <row r="4" customFormat="false" ht="15" hidden="false" customHeight="false" outlineLevel="0" collapsed="false">
      <c r="A4" s="10" t="s">
        <v>557</v>
      </c>
    </row>
    <row r="5" customFormat="false" ht="15" hidden="false" customHeight="false" outlineLevel="0" collapsed="false">
      <c r="A5" s="12" t="s">
        <v>405</v>
      </c>
      <c r="B5" s="12" t="n">
        <v>2010</v>
      </c>
      <c r="C5" s="12" t="n">
        <v>2011</v>
      </c>
      <c r="D5" s="12" t="n">
        <v>2012</v>
      </c>
      <c r="E5" s="12" t="n">
        <v>2013</v>
      </c>
      <c r="F5" s="12" t="n">
        <v>2014</v>
      </c>
    </row>
    <row r="6" customFormat="false" ht="15" hidden="false" customHeight="false" outlineLevel="0" collapsed="false">
      <c r="A6" s="22" t="s">
        <v>558</v>
      </c>
      <c r="B6" s="24" t="n">
        <v>216.88210685</v>
      </c>
      <c r="C6" s="24" t="n">
        <v>224.28802717</v>
      </c>
      <c r="D6" s="24" t="n">
        <v>235.97726563</v>
      </c>
      <c r="E6" s="24" t="n">
        <v>242.68353979</v>
      </c>
      <c r="F6" s="24" t="n">
        <v>270.032287</v>
      </c>
    </row>
    <row r="7" customFormat="false" ht="15" hidden="false" customHeight="false" outlineLevel="0" collapsed="false">
      <c r="A7" s="22" t="s">
        <v>559</v>
      </c>
      <c r="B7" s="24" t="n">
        <v>2249.71738308</v>
      </c>
      <c r="C7" s="24" t="n">
        <v>2728.35642351</v>
      </c>
      <c r="D7" s="24" t="n">
        <v>3642.5190052</v>
      </c>
      <c r="E7" s="24" t="n">
        <v>4625.0436394</v>
      </c>
      <c r="F7" s="24" t="n">
        <v>5008.92777823</v>
      </c>
    </row>
    <row r="8" customFormat="false" ht="15" hidden="false" customHeight="false" outlineLevel="0" collapsed="false">
      <c r="A8" s="22" t="s">
        <v>560</v>
      </c>
      <c r="B8" s="24" t="n">
        <v>3.02555278</v>
      </c>
      <c r="C8" s="24" t="n">
        <v>3.88662563</v>
      </c>
      <c r="D8" s="24" t="n">
        <v>4.4544109</v>
      </c>
      <c r="E8" s="24" t="n">
        <v>5.04524656</v>
      </c>
      <c r="F8" s="24" t="n">
        <v>5.11536907</v>
      </c>
    </row>
    <row r="9" customFormat="false" ht="15" hidden="false" customHeight="false" outlineLevel="0" collapsed="false">
      <c r="A9" s="22" t="s">
        <v>561</v>
      </c>
      <c r="B9" s="24" t="n">
        <v>328.811034844</v>
      </c>
      <c r="C9" s="24" t="n">
        <v>435.740684294</v>
      </c>
      <c r="D9" s="24" t="n">
        <v>220.696317053</v>
      </c>
      <c r="E9" s="24" t="n">
        <v>304.016728242</v>
      </c>
      <c r="F9" s="24" t="n">
        <v>376.927290291</v>
      </c>
    </row>
    <row r="10" customFormat="false" ht="15" hidden="false" customHeight="false" outlineLevel="0" collapsed="false">
      <c r="A10" s="22" t="s">
        <v>562</v>
      </c>
      <c r="B10" s="24" t="n">
        <v>2798.436077554</v>
      </c>
      <c r="C10" s="24" t="n">
        <v>3392.271760604</v>
      </c>
      <c r="D10" s="24" t="n">
        <v>4103.646998783</v>
      </c>
      <c r="E10" s="24" t="n">
        <v>5176.789153992</v>
      </c>
      <c r="F10" s="24" t="n">
        <v>5661.002724591</v>
      </c>
    </row>
    <row r="11" customFormat="false" ht="15" hidden="false" customHeight="false" outlineLevel="0" collapsed="false">
      <c r="A11" s="22" t="s">
        <v>563</v>
      </c>
      <c r="B11" s="24" t="n">
        <v>67.21635735</v>
      </c>
      <c r="C11" s="24" t="n">
        <v>75.96301093</v>
      </c>
      <c r="D11" s="24" t="n">
        <v>69.68740316</v>
      </c>
      <c r="E11" s="24" t="n">
        <v>63.70869188</v>
      </c>
      <c r="F11" s="24" t="n">
        <v>56.20410912</v>
      </c>
    </row>
    <row r="12" customFormat="false" ht="15" hidden="false" customHeight="false" outlineLevel="0" collapsed="false">
      <c r="A12" s="22" t="s">
        <v>564</v>
      </c>
      <c r="B12" s="24" t="n">
        <v>25.00710855</v>
      </c>
      <c r="C12" s="24" t="n">
        <v>23.63780939</v>
      </c>
      <c r="D12" s="24" t="n">
        <v>22.43789029</v>
      </c>
      <c r="E12" s="24" t="n">
        <v>21.28556394</v>
      </c>
      <c r="F12" s="24" t="n">
        <v>19.02154486</v>
      </c>
    </row>
    <row r="13" customFormat="false" ht="15" hidden="false" customHeight="false" outlineLevel="0" collapsed="false">
      <c r="A13" s="10" t="s">
        <v>392</v>
      </c>
      <c r="B13" s="25" t="n">
        <v>2890.659543454</v>
      </c>
      <c r="C13" s="25" t="n">
        <v>3491.872580924</v>
      </c>
      <c r="D13" s="25" t="n">
        <v>4195.772292233</v>
      </c>
      <c r="E13" s="25" t="n">
        <v>5261.783409812</v>
      </c>
      <c r="F13" s="25" t="n">
        <v>5736.228378571</v>
      </c>
    </row>
    <row r="15" customFormat="false" ht="15" hidden="false" customHeight="false" outlineLevel="0" collapsed="false">
      <c r="A15" s="10" t="s">
        <v>565</v>
      </c>
    </row>
    <row r="16" customFormat="false" ht="15" hidden="false" customHeight="false" outlineLevel="0" collapsed="false">
      <c r="A16" s="12" t="s">
        <v>405</v>
      </c>
      <c r="B16" s="12" t="n">
        <v>2010</v>
      </c>
      <c r="C16" s="12" t="n">
        <v>2011</v>
      </c>
      <c r="D16" s="12" t="n">
        <v>2012</v>
      </c>
      <c r="E16" s="12" t="n">
        <v>2013</v>
      </c>
      <c r="F16" s="12" t="n">
        <v>2014</v>
      </c>
    </row>
    <row r="17" customFormat="false" ht="15" hidden="false" customHeight="false" outlineLevel="0" collapsed="false">
      <c r="A17" s="22" t="s">
        <v>566</v>
      </c>
      <c r="B17" s="24" t="n">
        <v>2287.92365846</v>
      </c>
      <c r="C17" s="24" t="n">
        <v>2620.76430776</v>
      </c>
      <c r="D17" s="24" t="n">
        <v>3040.86852199</v>
      </c>
      <c r="E17" s="24" t="n">
        <v>3459.76092953</v>
      </c>
      <c r="F17" s="24" t="n">
        <v>3901.12251101</v>
      </c>
    </row>
    <row r="18" customFormat="false" ht="15" hidden="false" customHeight="false" outlineLevel="0" collapsed="false">
      <c r="A18" s="22" t="s">
        <v>567</v>
      </c>
      <c r="B18" s="24" t="n">
        <v>602.77766336</v>
      </c>
      <c r="C18" s="24" t="n">
        <v>871.10827317</v>
      </c>
      <c r="D18" s="24" t="n">
        <v>654.90377024</v>
      </c>
      <c r="E18" s="24" t="n">
        <v>802.02248041</v>
      </c>
      <c r="F18" s="24" t="n">
        <v>835.10586756</v>
      </c>
    </row>
    <row r="19" customFormat="false" ht="15" hidden="false" customHeight="false" outlineLevel="0" collapsed="false">
      <c r="A19" s="22" t="s">
        <v>568</v>
      </c>
      <c r="B19" s="24" t="n">
        <v>0</v>
      </c>
      <c r="C19" s="24" t="n">
        <v>0</v>
      </c>
      <c r="D19" s="24" t="n">
        <v>0</v>
      </c>
      <c r="E19" s="24" t="n">
        <v>0</v>
      </c>
      <c r="F19" s="24" t="n">
        <v>0</v>
      </c>
    </row>
    <row r="20" customFormat="false" ht="15" hidden="false" customHeight="false" outlineLevel="0" collapsed="false">
      <c r="A20" s="10" t="s">
        <v>392</v>
      </c>
      <c r="B20" s="25" t="n">
        <v>2890.70132182</v>
      </c>
      <c r="C20" s="25" t="n">
        <v>3491.87258093</v>
      </c>
      <c r="D20" s="25" t="n">
        <v>4195.77229223</v>
      </c>
      <c r="E20" s="25" t="n">
        <v>5261.78340994</v>
      </c>
      <c r="F20" s="25" t="n">
        <v>5736.22837857</v>
      </c>
    </row>
    <row r="22" customFormat="false" ht="69.75" hidden="false" customHeight="true" outlineLevel="0" collapsed="false">
      <c r="A22" s="29" t="s">
        <v>569</v>
      </c>
      <c r="B22" s="29"/>
      <c r="C22" s="29"/>
      <c r="D22" s="29"/>
      <c r="E22" s="29"/>
      <c r="F22" s="29"/>
    </row>
  </sheetData>
  <mergeCells count="2">
    <mergeCell ref="A1:F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5" min="3" style="0" width="20"/>
  </cols>
  <sheetData>
    <row r="1" customFormat="false" ht="15" hidden="false" customHeight="false" outlineLevel="0" collapsed="false">
      <c r="A1" s="1" t="s">
        <v>570</v>
      </c>
      <c r="B1" s="1"/>
      <c r="C1" s="1"/>
      <c r="D1" s="1"/>
      <c r="E1" s="1"/>
      <c r="F1" s="1"/>
      <c r="G1" s="1"/>
      <c r="H1" s="1"/>
      <c r="I1" s="1"/>
      <c r="J1" s="1"/>
      <c r="K1" s="1"/>
      <c r="L1" s="1"/>
      <c r="M1" s="1"/>
      <c r="N1" s="1"/>
    </row>
    <row r="2" customFormat="false" ht="15" hidden="false" customHeight="false" outlineLevel="0" collapsed="false">
      <c r="A2" s="11" t="s">
        <v>571</v>
      </c>
    </row>
    <row r="4" customFormat="false" ht="15" hidden="false" customHeight="false" outlineLevel="0" collapsed="false">
      <c r="A4" s="12" t="s">
        <v>405</v>
      </c>
      <c r="B4" s="12" t="s">
        <v>418</v>
      </c>
      <c r="C4" s="12" t="s">
        <v>572</v>
      </c>
      <c r="D4" s="12" t="s">
        <v>573</v>
      </c>
      <c r="E4" s="12" t="s">
        <v>574</v>
      </c>
    </row>
    <row r="5" customFormat="false" ht="15" hidden="false" customHeight="false" outlineLevel="0" collapsed="false">
      <c r="A5" s="13" t="n">
        <v>2010</v>
      </c>
      <c r="B5" s="13" t="s">
        <v>476</v>
      </c>
      <c r="C5" s="23" t="n">
        <v>116.346583113555</v>
      </c>
      <c r="D5" s="23" t="n">
        <v>128.657397487342</v>
      </c>
      <c r="E5" s="23" t="n">
        <v>0.0744717144481513</v>
      </c>
    </row>
    <row r="6" customFormat="false" ht="15" hidden="false" customHeight="false" outlineLevel="0" collapsed="false">
      <c r="A6" s="13" t="n">
        <v>2010</v>
      </c>
      <c r="B6" s="13" t="s">
        <v>477</v>
      </c>
      <c r="C6" s="23" t="n">
        <v>116.539758415561</v>
      </c>
      <c r="D6" s="23" t="n">
        <v>128.939449686537</v>
      </c>
      <c r="E6" s="23" t="n">
        <v>0.312380761217156</v>
      </c>
    </row>
    <row r="7" customFormat="false" ht="15" hidden="false" customHeight="false" outlineLevel="0" collapsed="false">
      <c r="A7" s="13" t="n">
        <v>2010</v>
      </c>
      <c r="B7" s="13" t="s">
        <v>478</v>
      </c>
      <c r="C7" s="23" t="n">
        <v>116.400257880432</v>
      </c>
      <c r="D7" s="23" t="n">
        <v>128.599760932395</v>
      </c>
      <c r="E7" s="23" t="n">
        <v>0.685509652957038</v>
      </c>
    </row>
    <row r="8" customFormat="false" ht="15" hidden="false" customHeight="false" outlineLevel="0" collapsed="false">
      <c r="A8" s="13" t="n">
        <v>2010</v>
      </c>
      <c r="B8" s="13" t="s">
        <v>479</v>
      </c>
      <c r="C8" s="23" t="n">
        <v>116.505670848465</v>
      </c>
      <c r="D8" s="23" t="n">
        <v>128.765092710252</v>
      </c>
      <c r="E8" s="23" t="n">
        <v>1.21557399588978</v>
      </c>
    </row>
    <row r="9" customFormat="false" ht="15" hidden="false" customHeight="false" outlineLevel="0" collapsed="false">
      <c r="A9" s="13" t="n">
        <v>2010</v>
      </c>
      <c r="B9" s="13" t="s">
        <v>480</v>
      </c>
      <c r="C9" s="23" t="n">
        <v>116.485095812079</v>
      </c>
      <c r="D9" s="23" t="n">
        <v>128.408456276811</v>
      </c>
      <c r="E9" s="23" t="n">
        <v>1.3847062863894</v>
      </c>
    </row>
    <row r="10" customFormat="false" ht="15" hidden="false" customHeight="false" outlineLevel="0" collapsed="false">
      <c r="A10" s="13" t="n">
        <v>2010</v>
      </c>
      <c r="B10" s="13" t="s">
        <v>481</v>
      </c>
      <c r="C10" s="23" t="n">
        <v>116.65062371742</v>
      </c>
      <c r="D10" s="23" t="n">
        <v>128.717365139915</v>
      </c>
      <c r="E10" s="23" t="n">
        <v>1.32865907033346</v>
      </c>
    </row>
    <row r="11" customFormat="false" ht="15" hidden="false" customHeight="false" outlineLevel="0" collapsed="false">
      <c r="A11" s="13" t="n">
        <v>2010</v>
      </c>
      <c r="B11" s="13" t="s">
        <v>482</v>
      </c>
      <c r="C11" s="23" t="n">
        <v>117.371926422558</v>
      </c>
      <c r="D11" s="23" t="n">
        <v>129.942398984708</v>
      </c>
      <c r="E11" s="23" t="n">
        <v>2.16095226148295</v>
      </c>
    </row>
    <row r="12" customFormat="false" ht="15" hidden="false" customHeight="false" outlineLevel="0" collapsed="false">
      <c r="A12" s="13" t="n">
        <v>2010</v>
      </c>
      <c r="B12" s="13" t="s">
        <v>483</v>
      </c>
      <c r="C12" s="23" t="n">
        <v>118.612184717835</v>
      </c>
      <c r="D12" s="23" t="n">
        <v>132.524048344093</v>
      </c>
      <c r="E12" s="23" t="n">
        <v>2.60025766210437</v>
      </c>
    </row>
    <row r="13" customFormat="false" ht="15" hidden="false" customHeight="false" outlineLevel="0" collapsed="false">
      <c r="A13" s="13" t="n">
        <v>2010</v>
      </c>
      <c r="B13" s="13" t="s">
        <v>484</v>
      </c>
      <c r="C13" s="23" t="n">
        <v>119.520499457636</v>
      </c>
      <c r="D13" s="23" t="n">
        <v>134.368757594029</v>
      </c>
      <c r="E13" s="23" t="n">
        <v>3.27087894062701</v>
      </c>
    </row>
    <row r="14" customFormat="false" ht="15" hidden="false" customHeight="false" outlineLevel="0" collapsed="false">
      <c r="A14" s="13" t="n">
        <v>2010</v>
      </c>
      <c r="B14" s="13" t="s">
        <v>485</v>
      </c>
      <c r="C14" s="23" t="n">
        <v>120.983422666342</v>
      </c>
      <c r="D14" s="23" t="n">
        <v>137.462660137309</v>
      </c>
      <c r="E14" s="23" t="n">
        <v>4.20371695014184</v>
      </c>
    </row>
    <row r="15" customFormat="false" ht="15" hidden="false" customHeight="false" outlineLevel="0" collapsed="false">
      <c r="A15" s="13" t="n">
        <v>2010</v>
      </c>
      <c r="B15" s="13" t="s">
        <v>486</v>
      </c>
      <c r="C15" s="23" t="n">
        <v>122.331678599428</v>
      </c>
      <c r="D15" s="23" t="n">
        <v>140.191359822458</v>
      </c>
      <c r="E15" s="23" t="n">
        <v>5.56931180452129</v>
      </c>
    </row>
    <row r="16" customFormat="false" ht="15" hidden="false" customHeight="false" outlineLevel="0" collapsed="false">
      <c r="A16" s="13" t="n">
        <v>2010</v>
      </c>
      <c r="B16" s="13" t="s">
        <v>487</v>
      </c>
      <c r="C16" s="23" t="n">
        <v>124.490566956945</v>
      </c>
      <c r="D16" s="23" t="n">
        <v>142.435034089198</v>
      </c>
      <c r="E16" s="23" t="n">
        <v>7.18184972368128</v>
      </c>
    </row>
    <row r="17" customFormat="false" ht="15" hidden="false" customHeight="false" outlineLevel="0" collapsed="false">
      <c r="A17" s="13" t="n">
        <v>2011</v>
      </c>
      <c r="B17" s="13" t="s">
        <v>476</v>
      </c>
      <c r="C17" s="23" t="n">
        <v>126.099776000185</v>
      </c>
      <c r="D17" s="23" t="n">
        <v>146.527772010335</v>
      </c>
      <c r="E17" s="23" t="n">
        <v>8.38287865928227</v>
      </c>
    </row>
    <row r="18" customFormat="false" ht="15" hidden="false" customHeight="false" outlineLevel="0" collapsed="false">
      <c r="A18" s="13" t="n">
        <v>2011</v>
      </c>
      <c r="B18" s="13" t="s">
        <v>477</v>
      </c>
      <c r="C18" s="23" t="n">
        <v>128.192971584261</v>
      </c>
      <c r="D18" s="23" t="n">
        <v>150.202574781805</v>
      </c>
      <c r="E18" s="23" t="n">
        <v>9.99934556852834</v>
      </c>
    </row>
    <row r="19" customFormat="false" ht="15" hidden="false" customHeight="false" outlineLevel="0" collapsed="false">
      <c r="A19" s="13" t="n">
        <v>2011</v>
      </c>
      <c r="B19" s="13" t="s">
        <v>478</v>
      </c>
      <c r="C19" s="23" t="n">
        <v>129.33108670181</v>
      </c>
      <c r="D19" s="23" t="n">
        <v>151.120168659079</v>
      </c>
      <c r="E19" s="23" t="n">
        <v>11.1089348570518</v>
      </c>
    </row>
    <row r="20" customFormat="false" ht="15" hidden="false" customHeight="false" outlineLevel="0" collapsed="false">
      <c r="A20" s="13" t="n">
        <v>2011</v>
      </c>
      <c r="B20" s="13" t="s">
        <v>479</v>
      </c>
      <c r="C20" s="23" t="n">
        <v>129.359424898677</v>
      </c>
      <c r="D20" s="23" t="n">
        <v>150.334084347096</v>
      </c>
      <c r="E20" s="23" t="n">
        <v>11.0327282411255</v>
      </c>
    </row>
    <row r="21" customFormat="false" ht="15" hidden="false" customHeight="false" outlineLevel="0" collapsed="false">
      <c r="A21" s="13" t="n">
        <v>2011</v>
      </c>
      <c r="B21" s="13" t="s">
        <v>480</v>
      </c>
      <c r="C21" s="23" t="n">
        <v>129.617717332561</v>
      </c>
      <c r="D21" s="23" t="n">
        <v>150.336541369501</v>
      </c>
      <c r="E21" s="23" t="n">
        <v>11.2740788243568</v>
      </c>
    </row>
    <row r="22" customFormat="false" ht="15" hidden="false" customHeight="false" outlineLevel="0" collapsed="false">
      <c r="A22" s="13" t="n">
        <v>2011</v>
      </c>
      <c r="B22" s="13" t="s">
        <v>481</v>
      </c>
      <c r="C22" s="23" t="n">
        <v>129.803831343065</v>
      </c>
      <c r="D22" s="23" t="n">
        <v>149.825432075231</v>
      </c>
      <c r="E22" s="23" t="n">
        <v>11.2757285014678</v>
      </c>
    </row>
    <row r="23" customFormat="false" ht="15" hidden="false" customHeight="false" outlineLevel="0" collapsed="false">
      <c r="A23" s="13" t="n">
        <v>2011</v>
      </c>
      <c r="B23" s="13" t="s">
        <v>482</v>
      </c>
      <c r="C23" s="23" t="n">
        <v>130.494332400705</v>
      </c>
      <c r="D23" s="23" t="n">
        <v>150.591148175009</v>
      </c>
      <c r="E23" s="23" t="n">
        <v>11.1801913610104</v>
      </c>
    </row>
    <row r="24" customFormat="false" ht="15" hidden="false" customHeight="false" outlineLevel="0" collapsed="false">
      <c r="A24" s="13" t="n">
        <v>2011</v>
      </c>
      <c r="B24" s="13" t="s">
        <v>483</v>
      </c>
      <c r="C24" s="23" t="n">
        <v>130.989224831233</v>
      </c>
      <c r="D24" s="23" t="n">
        <v>151.073200139982</v>
      </c>
      <c r="E24" s="23" t="n">
        <v>10.4348808200795</v>
      </c>
    </row>
    <row r="25" customFormat="false" ht="15" hidden="false" customHeight="false" outlineLevel="0" collapsed="false">
      <c r="A25" s="13" t="n">
        <v>2011</v>
      </c>
      <c r="B25" s="13" t="s">
        <v>484</v>
      </c>
      <c r="C25" s="23" t="n">
        <v>131.387914789532</v>
      </c>
      <c r="D25" s="23" t="n">
        <v>151.607920540904</v>
      </c>
      <c r="E25" s="23" t="n">
        <v>9.92918820264951</v>
      </c>
    </row>
    <row r="26" customFormat="false" ht="15" hidden="false" customHeight="false" outlineLevel="0" collapsed="false">
      <c r="A26" s="13" t="n">
        <v>2011</v>
      </c>
      <c r="B26" s="13" t="s">
        <v>485</v>
      </c>
      <c r="C26" s="23" t="n">
        <v>132.009606355078</v>
      </c>
      <c r="D26" s="23" t="n">
        <v>152.797582918549</v>
      </c>
      <c r="E26" s="23" t="n">
        <v>9.11379711842409</v>
      </c>
    </row>
    <row r="27" customFormat="false" ht="15" hidden="false" customHeight="false" outlineLevel="0" collapsed="false">
      <c r="A27" s="13" t="n">
        <v>2011</v>
      </c>
      <c r="B27" s="13" t="s">
        <v>486</v>
      </c>
      <c r="C27" s="23" t="n">
        <v>132.43580700695</v>
      </c>
      <c r="D27" s="23" t="n">
        <v>153.412706437297</v>
      </c>
      <c r="E27" s="23" t="n">
        <v>8.25961723341301</v>
      </c>
    </row>
    <row r="28" customFormat="false" ht="15" hidden="false" customHeight="false" outlineLevel="0" collapsed="false">
      <c r="A28" s="13" t="n">
        <v>2011</v>
      </c>
      <c r="B28" s="13" t="s">
        <v>487</v>
      </c>
      <c r="C28" s="23" t="n">
        <v>133.08482545149</v>
      </c>
      <c r="D28" s="23" t="n">
        <v>153.728299379041</v>
      </c>
      <c r="E28" s="23" t="n">
        <v>6.90354193464086</v>
      </c>
    </row>
    <row r="29" customFormat="false" ht="15" hidden="false" customHeight="false" outlineLevel="0" collapsed="false">
      <c r="A29" s="13" t="n">
        <v>2012</v>
      </c>
      <c r="B29" s="13" t="s">
        <v>476</v>
      </c>
      <c r="C29" s="23" t="n">
        <v>133.485049951047</v>
      </c>
      <c r="D29" s="23" t="n">
        <v>153.567859256648</v>
      </c>
      <c r="E29" s="23" t="n">
        <v>5.85669077703329</v>
      </c>
    </row>
    <row r="30" customFormat="false" ht="15" hidden="false" customHeight="false" outlineLevel="0" collapsed="false">
      <c r="A30" s="13" t="n">
        <v>2012</v>
      </c>
      <c r="B30" s="13" t="s">
        <v>477</v>
      </c>
      <c r="C30" s="23" t="n">
        <v>134.145273967593</v>
      </c>
      <c r="D30" s="23" t="n">
        <v>154.275149095231</v>
      </c>
      <c r="E30" s="23" t="n">
        <v>4.6432361382772</v>
      </c>
    </row>
    <row r="31" customFormat="false" ht="15" hidden="false" customHeight="false" outlineLevel="0" collapsed="false">
      <c r="A31" s="13" t="n">
        <v>2012</v>
      </c>
      <c r="B31" s="13" t="s">
        <v>478</v>
      </c>
      <c r="C31" s="23" t="n">
        <v>134.538029577459</v>
      </c>
      <c r="D31" s="23" t="n">
        <v>155.028302250564</v>
      </c>
      <c r="E31" s="23" t="n">
        <v>4.02605669559905</v>
      </c>
    </row>
    <row r="32" customFormat="false" ht="15" hidden="false" customHeight="false" outlineLevel="0" collapsed="false">
      <c r="A32" s="13" t="n">
        <v>2012</v>
      </c>
      <c r="B32" s="13" t="s">
        <v>479</v>
      </c>
      <c r="C32" s="23" t="n">
        <v>134.747960953658</v>
      </c>
      <c r="D32" s="23" t="n">
        <v>155.111886510598</v>
      </c>
      <c r="E32" s="23" t="n">
        <v>4.16555350273255</v>
      </c>
    </row>
    <row r="33" customFormat="false" ht="15" hidden="false" customHeight="false" outlineLevel="0" collapsed="false">
      <c r="A33" s="13" t="n">
        <v>2012</v>
      </c>
      <c r="B33" s="13" t="s">
        <v>480</v>
      </c>
      <c r="C33" s="23" t="n">
        <v>135.408923244185</v>
      </c>
      <c r="D33" s="23" t="n">
        <v>156.362918548986</v>
      </c>
      <c r="E33" s="23" t="n">
        <v>4.46791228144042</v>
      </c>
    </row>
    <row r="34" customFormat="false" ht="15" hidden="false" customHeight="false" outlineLevel="0" collapsed="false">
      <c r="A34" s="13" t="n">
        <v>2012</v>
      </c>
      <c r="B34" s="13" t="s">
        <v>481</v>
      </c>
      <c r="C34" s="23" t="n">
        <v>135.698890853671</v>
      </c>
      <c r="D34" s="23" t="n">
        <v>156.379629430973</v>
      </c>
      <c r="E34" s="23" t="n">
        <v>4.5415142601031</v>
      </c>
    </row>
    <row r="35" customFormat="false" ht="15" hidden="false" customHeight="false" outlineLevel="0" collapsed="false">
      <c r="A35" s="13" t="n">
        <v>2012</v>
      </c>
      <c r="B35" s="13" t="s">
        <v>482</v>
      </c>
      <c r="C35" s="23" t="n">
        <v>136.218832467778</v>
      </c>
      <c r="D35" s="23" t="n">
        <v>157.006671173864</v>
      </c>
      <c r="E35" s="23" t="n">
        <v>4.38678060706539</v>
      </c>
    </row>
    <row r="36" customFormat="false" ht="15" hidden="false" customHeight="false" outlineLevel="0" collapsed="false">
      <c r="A36" s="13" t="n">
        <v>2012</v>
      </c>
      <c r="B36" s="13" t="s">
        <v>483</v>
      </c>
      <c r="C36" s="23" t="n">
        <v>136.70114490249</v>
      </c>
      <c r="D36" s="23" t="n">
        <v>157.972175806207</v>
      </c>
      <c r="E36" s="23" t="n">
        <v>4.36060300273999</v>
      </c>
    </row>
    <row r="37" customFormat="false" ht="15" hidden="false" customHeight="false" outlineLevel="0" collapsed="false">
      <c r="A37" s="13" t="n">
        <v>2012</v>
      </c>
      <c r="B37" s="13" t="s">
        <v>484</v>
      </c>
      <c r="C37" s="23" t="n">
        <v>137.210499335255</v>
      </c>
      <c r="D37" s="23" t="n">
        <v>158.540528669898</v>
      </c>
      <c r="E37" s="23" t="n">
        <v>4.43159826004596</v>
      </c>
    </row>
    <row r="38" customFormat="false" ht="15" hidden="false" customHeight="false" outlineLevel="0" collapsed="false">
      <c r="A38" s="13" t="n">
        <v>2012</v>
      </c>
      <c r="B38" s="13" t="s">
        <v>485</v>
      </c>
      <c r="C38" s="23" t="n">
        <v>137.734236362956</v>
      </c>
      <c r="D38" s="23" t="n">
        <v>159.353774994063</v>
      </c>
      <c r="E38" s="23" t="n">
        <v>4.33652532261958</v>
      </c>
    </row>
    <row r="39" customFormat="false" ht="15" hidden="false" customHeight="false" outlineLevel="0" collapsed="false">
      <c r="A39" s="13" t="n">
        <v>2012</v>
      </c>
      <c r="B39" s="13" t="s">
        <v>486</v>
      </c>
      <c r="C39" s="23" t="n">
        <v>138.387938500306</v>
      </c>
      <c r="D39" s="23" t="n">
        <v>160.552741648403</v>
      </c>
      <c r="E39" s="23" t="n">
        <v>4.49435211509172</v>
      </c>
    </row>
    <row r="40" customFormat="false" ht="15" hidden="false" customHeight="false" outlineLevel="0" collapsed="false">
      <c r="A40" s="13" t="n">
        <v>2012</v>
      </c>
      <c r="B40" s="13" t="s">
        <v>487</v>
      </c>
      <c r="C40" s="23" t="n">
        <v>139.127025826362</v>
      </c>
      <c r="D40" s="23" t="n">
        <v>161.475901246912</v>
      </c>
      <c r="E40" s="23" t="n">
        <v>4.5401121836199</v>
      </c>
    </row>
    <row r="41" customFormat="false" ht="15" hidden="false" customHeight="false" outlineLevel="0" collapsed="false">
      <c r="A41" s="13" t="n">
        <v>2013</v>
      </c>
      <c r="B41" s="13" t="s">
        <v>476</v>
      </c>
      <c r="C41" s="23" t="n">
        <v>140.051937922899</v>
      </c>
      <c r="D41" s="23" t="n">
        <v>162.868932397432</v>
      </c>
      <c r="E41" s="23" t="n">
        <v>4.91956812711204</v>
      </c>
    </row>
    <row r="42" customFormat="false" ht="15" hidden="false" customHeight="false" outlineLevel="0" collapsed="false">
      <c r="A42" s="13" t="n">
        <v>2013</v>
      </c>
      <c r="B42" s="13" t="s">
        <v>477</v>
      </c>
      <c r="C42" s="23" t="n">
        <v>140.961102222946</v>
      </c>
      <c r="D42" s="23" t="n">
        <v>164.523027439079</v>
      </c>
      <c r="E42" s="23" t="n">
        <v>5.08093058649226</v>
      </c>
    </row>
    <row r="43" customFormat="false" ht="15" hidden="false" customHeight="false" outlineLevel="0" collapsed="false">
      <c r="A43" s="13" t="n">
        <v>2013</v>
      </c>
      <c r="B43" s="13" t="s">
        <v>478</v>
      </c>
      <c r="C43" s="23" t="n">
        <v>141.314700923212</v>
      </c>
      <c r="D43" s="23" t="n">
        <v>164.752319298796</v>
      </c>
      <c r="E43" s="23" t="n">
        <v>5.03699315876423</v>
      </c>
    </row>
    <row r="44" customFormat="false" ht="15" hidden="false" customHeight="false" outlineLevel="0" collapsed="false">
      <c r="A44" s="13" t="n">
        <v>2013</v>
      </c>
      <c r="B44" s="13" t="s">
        <v>479</v>
      </c>
      <c r="C44" s="23" t="n">
        <v>141.414018249713</v>
      </c>
      <c r="D44" s="23" t="n">
        <v>163.789302499892</v>
      </c>
      <c r="E44" s="23" t="n">
        <v>4.94705615497016</v>
      </c>
    </row>
    <row r="45" customFormat="false" ht="15" hidden="false" customHeight="false" outlineLevel="0" collapsed="false">
      <c r="A45" s="13" t="n">
        <v>2013</v>
      </c>
      <c r="B45" s="13" t="s">
        <v>480</v>
      </c>
      <c r="C45" s="23" t="n">
        <v>141.798665235218</v>
      </c>
      <c r="D45" s="23" t="n">
        <v>164.062096716169</v>
      </c>
      <c r="E45" s="23" t="n">
        <v>4.71884853519569</v>
      </c>
    </row>
    <row r="46" customFormat="false" ht="15" hidden="false" customHeight="false" outlineLevel="0" collapsed="false">
      <c r="A46" s="13" t="n">
        <v>2013</v>
      </c>
      <c r="B46" s="13" t="s">
        <v>481</v>
      </c>
      <c r="C46" s="23" t="n">
        <v>142.231366894431</v>
      </c>
      <c r="D46" s="23" t="n">
        <v>164.816071987992</v>
      </c>
      <c r="E46" s="23" t="n">
        <v>4.81394947273729</v>
      </c>
    </row>
    <row r="47" customFormat="false" ht="15" hidden="false" customHeight="false" outlineLevel="0" collapsed="false">
      <c r="A47" s="13" t="n">
        <v>2013</v>
      </c>
      <c r="B47" s="13" t="s">
        <v>482</v>
      </c>
      <c r="C47" s="23" t="n">
        <v>143.101278423833</v>
      </c>
      <c r="D47" s="23" t="n">
        <v>166.319635325955</v>
      </c>
      <c r="E47" s="23" t="n">
        <v>5.05249225189385</v>
      </c>
    </row>
    <row r="48" customFormat="false" ht="15" hidden="false" customHeight="false" outlineLevel="0" collapsed="false">
      <c r="A48" s="13" t="n">
        <v>2013</v>
      </c>
      <c r="B48" s="13" t="s">
        <v>483</v>
      </c>
      <c r="C48" s="23" t="n">
        <v>145.01679610236</v>
      </c>
      <c r="D48" s="23" t="n">
        <v>171.092299768379</v>
      </c>
      <c r="E48" s="23" t="n">
        <v>6.08308818905736</v>
      </c>
    </row>
    <row r="49" customFormat="false" ht="15" hidden="false" customHeight="false" outlineLevel="0" collapsed="false">
      <c r="A49" s="13" t="n">
        <v>2013</v>
      </c>
      <c r="B49" s="13" t="s">
        <v>484</v>
      </c>
      <c r="C49" s="23" t="n">
        <v>146.988573200235</v>
      </c>
      <c r="D49" s="23" t="n">
        <v>175.943551795396</v>
      </c>
      <c r="E49" s="23" t="n">
        <v>7.12633064696341</v>
      </c>
    </row>
    <row r="50" customFormat="false" ht="15" hidden="false" customHeight="false" outlineLevel="0" collapsed="false">
      <c r="A50" s="13" t="n">
        <v>2013</v>
      </c>
      <c r="B50" s="13" t="s">
        <v>485</v>
      </c>
      <c r="C50" s="23" t="n">
        <v>148.066236485987</v>
      </c>
      <c r="D50" s="23" t="n">
        <v>178.219605109251</v>
      </c>
      <c r="E50" s="23" t="n">
        <v>7.50140298872726</v>
      </c>
    </row>
    <row r="51" customFormat="false" ht="15" hidden="false" customHeight="false" outlineLevel="0" collapsed="false">
      <c r="A51" s="13" t="n">
        <v>2013</v>
      </c>
      <c r="B51" s="13" t="s">
        <v>486</v>
      </c>
      <c r="C51" s="23" t="n">
        <v>148.020655006774</v>
      </c>
      <c r="D51" s="23" t="n">
        <v>177.521688747213</v>
      </c>
      <c r="E51" s="23" t="n">
        <v>6.96066189789154</v>
      </c>
    </row>
    <row r="52" customFormat="false" ht="15" hidden="false" customHeight="false" outlineLevel="0" collapsed="false">
      <c r="A52" s="13" t="n">
        <v>2013</v>
      </c>
      <c r="B52" s="13" t="s">
        <v>487</v>
      </c>
      <c r="C52" s="23" t="n">
        <v>148.142016438481</v>
      </c>
      <c r="D52" s="23" t="n">
        <v>176.397560957819</v>
      </c>
      <c r="E52" s="23" t="n">
        <v>6.4796832668373</v>
      </c>
    </row>
    <row r="53" customFormat="false" ht="15" hidden="false" customHeight="false" outlineLevel="0" collapsed="false">
      <c r="A53" s="13" t="n">
        <v>2014</v>
      </c>
      <c r="B53" s="13" t="s">
        <v>476</v>
      </c>
      <c r="C53" s="23" t="n">
        <v>148.526619730917</v>
      </c>
      <c r="D53" s="23" t="n">
        <v>176.149607460238</v>
      </c>
      <c r="E53" s="23" t="n">
        <v>6.05109928052791</v>
      </c>
    </row>
    <row r="54" customFormat="false" ht="15" hidden="false" customHeight="false" outlineLevel="0" collapsed="false">
      <c r="A54" s="13" t="n">
        <v>2014</v>
      </c>
      <c r="B54" s="13" t="s">
        <v>477</v>
      </c>
      <c r="C54" s="23" t="n">
        <v>149.65138665675</v>
      </c>
      <c r="D54" s="23" t="n">
        <v>178.108438505502</v>
      </c>
      <c r="E54" s="23" t="n">
        <v>6.16502304306566</v>
      </c>
    </row>
    <row r="55" customFormat="false" ht="15" hidden="false" customHeight="false" outlineLevel="0" collapsed="false">
      <c r="A55" s="13" t="n">
        <v>2014</v>
      </c>
      <c r="B55" s="13" t="s">
        <v>478</v>
      </c>
      <c r="C55" s="23" t="n">
        <v>149.968637819804</v>
      </c>
      <c r="D55" s="23" t="n">
        <v>178.08296761295</v>
      </c>
      <c r="E55" s="23" t="n">
        <v>6.12387588839417</v>
      </c>
    </row>
    <row r="56" customFormat="false" ht="15" hidden="false" customHeight="false" outlineLevel="0" collapsed="false">
      <c r="A56" s="13" t="n">
        <v>2014</v>
      </c>
      <c r="B56" s="13" t="s">
        <v>479</v>
      </c>
      <c r="C56" s="23" t="n">
        <v>150.21013699158</v>
      </c>
      <c r="D56" s="23" t="n">
        <v>178.229319085649</v>
      </c>
      <c r="E56" s="23" t="n">
        <v>6.22011795629392</v>
      </c>
    </row>
    <row r="57" customFormat="false" ht="15" hidden="false" customHeight="false" outlineLevel="0" collapsed="false">
      <c r="A57" s="13" t="n">
        <v>2014</v>
      </c>
      <c r="B57" s="13" t="s">
        <v>480</v>
      </c>
      <c r="C57" s="23" t="n">
        <v>150.84102819539</v>
      </c>
      <c r="D57" s="23" t="n">
        <v>179.285317255682</v>
      </c>
      <c r="E57" s="23" t="n">
        <v>6.37690273400884</v>
      </c>
    </row>
    <row r="58" customFormat="false" ht="15" hidden="false" customHeight="false" outlineLevel="0" collapsed="false">
      <c r="A58" s="13" t="n">
        <v>2014</v>
      </c>
      <c r="B58" s="13" t="s">
        <v>481</v>
      </c>
      <c r="C58" s="23" t="n">
        <v>152.663418065313</v>
      </c>
      <c r="D58" s="23" t="n">
        <v>183.355997634547</v>
      </c>
      <c r="E58" s="23" t="n">
        <v>7.33456437821097</v>
      </c>
    </row>
    <row r="59" customFormat="false" ht="15" hidden="false" customHeight="false" outlineLevel="0" collapsed="false">
      <c r="A59" s="13" t="n">
        <v>2014</v>
      </c>
      <c r="B59" s="13" t="s">
        <v>482</v>
      </c>
      <c r="C59" s="23" t="n">
        <v>153.784868396948</v>
      </c>
      <c r="D59" s="23" t="n">
        <v>185.546345360726</v>
      </c>
      <c r="E59" s="23" t="n">
        <v>7.46575438793269</v>
      </c>
    </row>
    <row r="60" customFormat="false" ht="15" hidden="false" customHeight="false" outlineLevel="0" collapsed="false">
      <c r="A60" s="13" t="n">
        <v>2014</v>
      </c>
      <c r="B60" s="13" t="s">
        <v>483</v>
      </c>
      <c r="C60" s="23" t="n">
        <v>153.88317664926</v>
      </c>
      <c r="D60" s="23" t="n">
        <v>185.523555021657</v>
      </c>
      <c r="E60" s="23" t="n">
        <v>6.11403698413135</v>
      </c>
    </row>
    <row r="61" customFormat="false" ht="15" hidden="false" customHeight="false" outlineLevel="0" collapsed="false">
      <c r="A61" s="13" t="n">
        <v>2014</v>
      </c>
      <c r="B61" s="13" t="s">
        <v>484</v>
      </c>
      <c r="C61" s="23" t="n">
        <v>153.305206526177</v>
      </c>
      <c r="D61" s="23" t="n">
        <v>183.605231514383</v>
      </c>
      <c r="E61" s="23" t="n">
        <v>4.29736352181375</v>
      </c>
    </row>
    <row r="62" customFormat="false" ht="15" hidden="false" customHeight="false" outlineLevel="0" collapsed="false">
      <c r="A62" s="13" t="n">
        <v>2014</v>
      </c>
      <c r="B62" s="13" t="s">
        <v>485</v>
      </c>
      <c r="C62" s="23" t="n">
        <v>153.453937519661</v>
      </c>
      <c r="D62" s="23" t="n">
        <v>183.579837247559</v>
      </c>
      <c r="E62" s="23" t="n">
        <v>3.63871005405295</v>
      </c>
    </row>
    <row r="63" customFormat="false" ht="15" hidden="false" customHeight="false" outlineLevel="0" collapsed="false">
      <c r="A63" s="13" t="n">
        <v>2014</v>
      </c>
      <c r="B63" s="13" t="s">
        <v>486</v>
      </c>
      <c r="C63" s="23" t="n">
        <v>154.542907531514</v>
      </c>
      <c r="D63" s="23" t="n">
        <v>186.043788499137</v>
      </c>
      <c r="E63" s="23" t="n">
        <v>4.40631243284358</v>
      </c>
    </row>
    <row r="64" customFormat="false" ht="15" hidden="false" customHeight="false" outlineLevel="0" collapsed="false">
      <c r="A64" s="13" t="n">
        <v>2014</v>
      </c>
      <c r="B64" s="13" t="s">
        <v>487</v>
      </c>
      <c r="C64" s="23" t="n">
        <v>155.836879636687</v>
      </c>
      <c r="D64" s="23" t="n">
        <v>187.872885513482</v>
      </c>
      <c r="E64" s="23" t="n">
        <v>5.19424764371388</v>
      </c>
    </row>
    <row r="66" customFormat="false" ht="54.75" hidden="false" customHeight="true" outlineLevel="0" collapsed="false">
      <c r="A66" s="29" t="s">
        <v>575</v>
      </c>
      <c r="B66" s="29"/>
      <c r="C66" s="29"/>
      <c r="D66" s="29"/>
      <c r="E66" s="29"/>
    </row>
  </sheetData>
  <mergeCells count="2">
    <mergeCell ref="A1:N1"/>
    <mergeCell ref="A66:E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6" min="3" style="0" width="16"/>
  </cols>
  <sheetData>
    <row r="1" customFormat="false" ht="15" hidden="false" customHeight="false" outlineLevel="0" collapsed="false">
      <c r="A1" s="1" t="s">
        <v>576</v>
      </c>
      <c r="B1" s="1"/>
      <c r="C1" s="1"/>
      <c r="D1" s="1"/>
      <c r="E1" s="1"/>
      <c r="F1" s="1"/>
    </row>
    <row r="2" customFormat="false" ht="15" hidden="false" customHeight="false" outlineLevel="0" collapsed="false">
      <c r="A2" s="11" t="s">
        <v>577</v>
      </c>
    </row>
    <row r="4" customFormat="false" ht="15" hidden="false" customHeight="false" outlineLevel="0" collapsed="false">
      <c r="A4" s="12" t="s">
        <v>405</v>
      </c>
      <c r="B4" s="12" t="s">
        <v>418</v>
      </c>
      <c r="C4" s="12" t="s">
        <v>578</v>
      </c>
      <c r="D4" s="12" t="s">
        <v>579</v>
      </c>
      <c r="E4" s="12" t="s">
        <v>580</v>
      </c>
      <c r="F4" s="12" t="s">
        <v>581</v>
      </c>
    </row>
    <row r="5" customFormat="false" ht="15" hidden="false" customHeight="false" outlineLevel="0" collapsed="false">
      <c r="A5" s="13" t="n">
        <v>2010</v>
      </c>
      <c r="B5" s="13" t="s">
        <v>476</v>
      </c>
      <c r="C5" s="23" t="n">
        <v>0.290108361181907</v>
      </c>
      <c r="D5" s="23" t="n">
        <v>1.13217123510456</v>
      </c>
      <c r="E5" s="23" t="n">
        <v>0.148874033795332</v>
      </c>
      <c r="F5" s="23" t="n">
        <v>-0.152836399725509</v>
      </c>
    </row>
    <row r="6" customFormat="false" ht="15" hidden="false" customHeight="false" outlineLevel="0" collapsed="false">
      <c r="A6" s="13" t="n">
        <v>2010</v>
      </c>
      <c r="B6" s="13" t="s">
        <v>477</v>
      </c>
      <c r="C6" s="23" t="n">
        <v>0.279279969091251</v>
      </c>
      <c r="D6" s="23" t="n">
        <v>1.15546166036706</v>
      </c>
      <c r="E6" s="23" t="n">
        <v>0.0787440570299891</v>
      </c>
      <c r="F6" s="23" t="n">
        <v>0.0182747519710702</v>
      </c>
    </row>
    <row r="7" customFormat="false" ht="15" hidden="false" customHeight="false" outlineLevel="0" collapsed="false">
      <c r="A7" s="13" t="n">
        <v>2010</v>
      </c>
      <c r="B7" s="13" t="s">
        <v>478</v>
      </c>
      <c r="C7" s="23" t="n">
        <v>0.103262874550203</v>
      </c>
      <c r="D7" s="23" t="n">
        <v>1.33826206828189</v>
      </c>
      <c r="E7" s="23" t="n">
        <v>-0.0334932442967006</v>
      </c>
      <c r="F7" s="23" t="n">
        <v>0.428418826356114</v>
      </c>
    </row>
    <row r="8" customFormat="false" ht="15" hidden="false" customHeight="false" outlineLevel="0" collapsed="false">
      <c r="A8" s="13" t="n">
        <v>2010</v>
      </c>
      <c r="B8" s="13" t="s">
        <v>479</v>
      </c>
      <c r="C8" s="23" t="n">
        <v>0.356460415239357</v>
      </c>
      <c r="D8" s="23" t="n">
        <v>1.73714172196462</v>
      </c>
      <c r="E8" s="23" t="n">
        <v>0.199977819911612</v>
      </c>
      <c r="F8" s="23" t="n">
        <v>0.884906338624836</v>
      </c>
    </row>
    <row r="9" customFormat="false" ht="15" hidden="false" customHeight="false" outlineLevel="0" collapsed="false">
      <c r="A9" s="13" t="n">
        <v>2010</v>
      </c>
      <c r="B9" s="13" t="s">
        <v>480</v>
      </c>
      <c r="C9" s="23" t="n">
        <v>0.413825712190374</v>
      </c>
      <c r="D9" s="23" t="n">
        <v>2.08105093845388</v>
      </c>
      <c r="E9" s="23" t="n">
        <v>0.0500121018044419</v>
      </c>
      <c r="F9" s="23" t="n">
        <v>1.18570726732332</v>
      </c>
    </row>
    <row r="10" customFormat="false" ht="15" hidden="false" customHeight="false" outlineLevel="0" collapsed="false">
      <c r="A10" s="13" t="n">
        <v>2010</v>
      </c>
      <c r="B10" s="13" t="s">
        <v>481</v>
      </c>
      <c r="C10" s="23" t="n">
        <v>0.21667865382724</v>
      </c>
      <c r="D10" s="23" t="n">
        <v>2.39271308882909</v>
      </c>
      <c r="E10" s="23" t="n">
        <v>0.0573065705710807</v>
      </c>
      <c r="F10" s="23" t="n">
        <v>1.20198732843666</v>
      </c>
    </row>
    <row r="11" customFormat="false" ht="15" hidden="false" customHeight="false" outlineLevel="0" collapsed="false">
      <c r="A11" s="13" t="n">
        <v>2010</v>
      </c>
      <c r="B11" s="13" t="s">
        <v>482</v>
      </c>
      <c r="C11" s="23" t="n">
        <v>0.501297053471994</v>
      </c>
      <c r="D11" s="23" t="n">
        <v>2.82487302918344</v>
      </c>
      <c r="E11" s="23" t="n">
        <v>0.461225473631255</v>
      </c>
      <c r="F11" s="23" t="n">
        <v>1.72745105381378</v>
      </c>
    </row>
    <row r="12" customFormat="false" ht="15" hidden="false" customHeight="false" outlineLevel="0" collapsed="false">
      <c r="A12" s="13" t="n">
        <v>2010</v>
      </c>
      <c r="B12" s="13" t="s">
        <v>483</v>
      </c>
      <c r="C12" s="23" t="n">
        <v>0.664078610933316</v>
      </c>
      <c r="D12" s="23" t="n">
        <v>3.4189308033709</v>
      </c>
      <c r="E12" s="23" t="n">
        <v>0.641371074745734</v>
      </c>
      <c r="F12" s="23" t="n">
        <v>2.1298899334985</v>
      </c>
    </row>
    <row r="13" customFormat="false" ht="15" hidden="false" customHeight="false" outlineLevel="0" collapsed="false">
      <c r="A13" s="13" t="n">
        <v>2010</v>
      </c>
      <c r="B13" s="13" t="s">
        <v>484</v>
      </c>
      <c r="C13" s="23" t="n">
        <v>0.689582074130635</v>
      </c>
      <c r="D13" s="23" t="n">
        <v>4.17545970463158</v>
      </c>
      <c r="E13" s="23" t="n">
        <v>0.629735722170199</v>
      </c>
      <c r="F13" s="23" t="n">
        <v>2.65821374317454</v>
      </c>
    </row>
    <row r="14" customFormat="false" ht="15" hidden="false" customHeight="false" outlineLevel="0" collapsed="false">
      <c r="A14" s="13" t="n">
        <v>2010</v>
      </c>
      <c r="B14" s="13" t="s">
        <v>485</v>
      </c>
      <c r="C14" s="23" t="n">
        <v>0.893317290488338</v>
      </c>
      <c r="D14" s="23" t="n">
        <v>4.92991907292315</v>
      </c>
      <c r="E14" s="23" t="n">
        <v>0.9940154008097</v>
      </c>
      <c r="F14" s="23" t="n">
        <v>3.46622282551652</v>
      </c>
    </row>
    <row r="15" customFormat="false" ht="15" hidden="false" customHeight="false" outlineLevel="0" collapsed="false">
      <c r="A15" s="13" t="n">
        <v>2010</v>
      </c>
      <c r="B15" s="13" t="s">
        <v>486</v>
      </c>
      <c r="C15" s="23" t="n">
        <v>0.650842232999205</v>
      </c>
      <c r="D15" s="23" t="n">
        <v>5.3820693929941</v>
      </c>
      <c r="E15" s="23" t="n">
        <v>0.875421356982309</v>
      </c>
      <c r="F15" s="23" t="n">
        <v>4.51230678597441</v>
      </c>
    </row>
    <row r="16" customFormat="false" ht="15" hidden="false" customHeight="false" outlineLevel="0" collapsed="false">
      <c r="A16" s="13" t="n">
        <v>2010</v>
      </c>
      <c r="B16" s="13" t="s">
        <v>487</v>
      </c>
      <c r="C16" s="23" t="n">
        <v>0.910793136982524</v>
      </c>
      <c r="D16" s="23" t="n">
        <v>6.13156243593571</v>
      </c>
      <c r="E16" s="23" t="n">
        <v>1.43055464987791</v>
      </c>
      <c r="F16" s="23" t="n">
        <v>5.66402810149114</v>
      </c>
    </row>
    <row r="17" customFormat="false" ht="15" hidden="false" customHeight="false" outlineLevel="0" collapsed="false">
      <c r="A17" s="13" t="n">
        <v>2011</v>
      </c>
      <c r="B17" s="13" t="s">
        <v>476</v>
      </c>
      <c r="C17" s="23" t="n">
        <v>2.10317944540395</v>
      </c>
      <c r="D17" s="23" t="n">
        <v>8.05023687073549</v>
      </c>
      <c r="E17" s="23" t="n">
        <v>1.57577568638716</v>
      </c>
      <c r="F17" s="23" t="n">
        <v>7.16950859512753</v>
      </c>
    </row>
    <row r="18" customFormat="false" ht="15" hidden="false" customHeight="false" outlineLevel="0" collapsed="false">
      <c r="A18" s="13" t="n">
        <v>2011</v>
      </c>
      <c r="B18" s="13" t="s">
        <v>477</v>
      </c>
      <c r="C18" s="23" t="n">
        <v>1.86797739345073</v>
      </c>
      <c r="D18" s="23" t="n">
        <v>9.7620474568394</v>
      </c>
      <c r="E18" s="23" t="n">
        <v>1.20737959591439</v>
      </c>
      <c r="F18" s="23" t="n">
        <v>8.37811005415774</v>
      </c>
    </row>
    <row r="19" customFormat="false" ht="15" hidden="false" customHeight="false" outlineLevel="0" collapsed="false">
      <c r="A19" s="13" t="n">
        <v>2011</v>
      </c>
      <c r="B19" s="13" t="s">
        <v>478</v>
      </c>
      <c r="C19" s="23" t="n">
        <v>0.801648426963086</v>
      </c>
      <c r="D19" s="23" t="n">
        <v>10.5278189806226</v>
      </c>
      <c r="E19" s="23" t="n">
        <v>0.79894330058472</v>
      </c>
      <c r="F19" s="23" t="n">
        <v>9.28059131915518</v>
      </c>
    </row>
    <row r="20" customFormat="false" ht="15" hidden="false" customHeight="false" outlineLevel="0" collapsed="false">
      <c r="A20" s="13" t="n">
        <v>2011</v>
      </c>
      <c r="B20" s="13" t="s">
        <v>479</v>
      </c>
      <c r="C20" s="23" t="n">
        <v>0.500699444324271</v>
      </c>
      <c r="D20" s="23" t="n">
        <v>10.6866769677484</v>
      </c>
      <c r="E20" s="23" t="n">
        <v>0.220569070731957</v>
      </c>
      <c r="F20" s="23" t="n">
        <v>9.30304865013076</v>
      </c>
    </row>
    <row r="21" customFormat="false" ht="15" hidden="false" customHeight="false" outlineLevel="0" collapsed="false">
      <c r="A21" s="13" t="n">
        <v>2011</v>
      </c>
      <c r="B21" s="13" t="s">
        <v>480</v>
      </c>
      <c r="C21" s="23" t="n">
        <v>0.229955695960693</v>
      </c>
      <c r="D21" s="23" t="n">
        <v>10.4839961023783</v>
      </c>
      <c r="E21" s="23" t="n">
        <v>0.157225726106192</v>
      </c>
      <c r="F21" s="23" t="n">
        <v>9.42017783129554</v>
      </c>
    </row>
    <row r="22" customFormat="false" ht="15" hidden="false" customHeight="false" outlineLevel="0" collapsed="false">
      <c r="A22" s="13" t="n">
        <v>2011</v>
      </c>
      <c r="B22" s="13" t="s">
        <v>481</v>
      </c>
      <c r="C22" s="23" t="n">
        <v>-0.0122470553653664</v>
      </c>
      <c r="D22" s="23" t="n">
        <v>10.2316166830849</v>
      </c>
      <c r="E22" s="23" t="n">
        <v>0.342418864940353</v>
      </c>
      <c r="F22" s="23" t="n">
        <v>9.73196953368132</v>
      </c>
    </row>
    <row r="23" customFormat="false" ht="15" hidden="false" customHeight="false" outlineLevel="0" collapsed="false">
      <c r="A23" s="13" t="n">
        <v>2011</v>
      </c>
      <c r="B23" s="13" t="s">
        <v>482</v>
      </c>
      <c r="C23" s="23" t="n">
        <v>0.582127657680065</v>
      </c>
      <c r="D23" s="23" t="n">
        <v>10.3202731327085</v>
      </c>
      <c r="E23" s="23" t="n">
        <v>0.414821211023408</v>
      </c>
      <c r="F23" s="23" t="n">
        <v>9.68128300157194</v>
      </c>
    </row>
    <row r="24" customFormat="false" ht="15" hidden="false" customHeight="false" outlineLevel="0" collapsed="false">
      <c r="A24" s="13" t="n">
        <v>2011</v>
      </c>
      <c r="B24" s="13" t="s">
        <v>483</v>
      </c>
      <c r="C24" s="23" t="n">
        <v>0.571569434448538</v>
      </c>
      <c r="D24" s="23" t="n">
        <v>10.2188900201035</v>
      </c>
      <c r="E24" s="23" t="n">
        <v>0.394912940403658</v>
      </c>
      <c r="F24" s="23" t="n">
        <v>9.41268725320186</v>
      </c>
    </row>
    <row r="25" customFormat="false" ht="15" hidden="false" customHeight="false" outlineLevel="0" collapsed="false">
      <c r="A25" s="13" t="n">
        <v>2011</v>
      </c>
      <c r="B25" s="13" t="s">
        <v>484</v>
      </c>
      <c r="C25" s="23" t="n">
        <v>0.277537178813492</v>
      </c>
      <c r="D25" s="23" t="n">
        <v>9.76784900806649</v>
      </c>
      <c r="E25" s="23" t="n">
        <v>0.223247215022782</v>
      </c>
      <c r="F25" s="23" t="n">
        <v>8.97072047682739</v>
      </c>
    </row>
    <row r="26" customFormat="false" ht="15" hidden="false" customHeight="false" outlineLevel="0" collapsed="false">
      <c r="A26" s="13" t="n">
        <v>2011</v>
      </c>
      <c r="B26" s="13" t="s">
        <v>485</v>
      </c>
      <c r="C26" s="23" t="n">
        <v>0.361305414805591</v>
      </c>
      <c r="D26" s="23" t="n">
        <v>9.18904160229643</v>
      </c>
      <c r="E26" s="23" t="n">
        <v>0.297172343142949</v>
      </c>
      <c r="F26" s="23" t="n">
        <v>8.21883939009309</v>
      </c>
    </row>
    <row r="27" customFormat="false" ht="15" hidden="false" customHeight="false" outlineLevel="0" collapsed="false">
      <c r="A27" s="13" t="n">
        <v>2011</v>
      </c>
      <c r="B27" s="13" t="s">
        <v>486</v>
      </c>
      <c r="C27" s="23" t="n">
        <v>0.552414266036516</v>
      </c>
      <c r="D27" s="23" t="n">
        <v>9.08226400221794</v>
      </c>
      <c r="E27" s="23" t="n">
        <v>0.243462426995977</v>
      </c>
      <c r="F27" s="23" t="n">
        <v>7.54087580862457</v>
      </c>
    </row>
    <row r="28" customFormat="false" ht="15" hidden="false" customHeight="false" outlineLevel="0" collapsed="false">
      <c r="A28" s="13" t="n">
        <v>2011</v>
      </c>
      <c r="B28" s="13" t="s">
        <v>487</v>
      </c>
      <c r="C28" s="23" t="n">
        <v>0.639125292235487</v>
      </c>
      <c r="D28" s="23" t="n">
        <v>8.78859726310728</v>
      </c>
      <c r="E28" s="23" t="n">
        <v>0.493178991324328</v>
      </c>
      <c r="F28" s="23" t="n">
        <v>6.54703130456458</v>
      </c>
    </row>
    <row r="29" customFormat="false" ht="15" hidden="false" customHeight="false" outlineLevel="0" collapsed="false">
      <c r="A29" s="13" t="n">
        <v>2012</v>
      </c>
      <c r="B29" s="13" t="s">
        <v>476</v>
      </c>
      <c r="C29" s="23" t="n">
        <v>0.611481241945566</v>
      </c>
      <c r="D29" s="23" t="n">
        <v>7.19922702042146</v>
      </c>
      <c r="E29" s="23" t="n">
        <v>0.395759875203883</v>
      </c>
      <c r="F29" s="23" t="n">
        <v>5.30926392622619</v>
      </c>
    </row>
    <row r="30" customFormat="false" ht="15" hidden="false" customHeight="false" outlineLevel="0" collapsed="false">
      <c r="A30" s="13" t="n">
        <v>2012</v>
      </c>
      <c r="B30" s="13" t="s">
        <v>477</v>
      </c>
      <c r="C30" s="23" t="n">
        <v>0.731926838092534</v>
      </c>
      <c r="D30" s="23" t="n">
        <v>6.00372138158714</v>
      </c>
      <c r="E30" s="23" t="n">
        <v>0.401972295205777</v>
      </c>
      <c r="F30" s="23" t="n">
        <v>4.47121387160492</v>
      </c>
    </row>
    <row r="31" customFormat="false" ht="15" hidden="false" customHeight="false" outlineLevel="0" collapsed="false">
      <c r="A31" s="13" t="n">
        <v>2012</v>
      </c>
      <c r="B31" s="13" t="s">
        <v>478</v>
      </c>
      <c r="C31" s="23" t="n">
        <v>0.22636193277159</v>
      </c>
      <c r="D31" s="23" t="n">
        <v>5.39874606425341</v>
      </c>
      <c r="E31" s="23" t="n">
        <v>0.0923443079233088</v>
      </c>
      <c r="F31" s="23" t="n">
        <v>3.73887232052674</v>
      </c>
    </row>
    <row r="32" customFormat="false" ht="15" hidden="false" customHeight="false" outlineLevel="0" collapsed="false">
      <c r="A32" s="13" t="n">
        <v>2012</v>
      </c>
      <c r="B32" s="13" t="s">
        <v>479</v>
      </c>
      <c r="C32" s="23" t="n">
        <v>0.389700613541932</v>
      </c>
      <c r="D32" s="23" t="n">
        <v>5.28233754527054</v>
      </c>
      <c r="E32" s="23" t="n">
        <v>0.123613976438386</v>
      </c>
      <c r="F32" s="23" t="n">
        <v>3.63851355943603</v>
      </c>
    </row>
    <row r="33" customFormat="false" ht="15" hidden="false" customHeight="false" outlineLevel="0" collapsed="false">
      <c r="A33" s="13" t="n">
        <v>2012</v>
      </c>
      <c r="B33" s="13" t="s">
        <v>480</v>
      </c>
      <c r="C33" s="23" t="n">
        <v>0.292352238986204</v>
      </c>
      <c r="D33" s="23" t="n">
        <v>5.34787936716255</v>
      </c>
      <c r="E33" s="23" t="n">
        <v>0.273720432420155</v>
      </c>
      <c r="F33" s="23" t="n">
        <v>3.7590574154823</v>
      </c>
    </row>
    <row r="34" customFormat="false" ht="15" hidden="false" customHeight="false" outlineLevel="0" collapsed="false">
      <c r="A34" s="13" t="n">
        <v>2012</v>
      </c>
      <c r="B34" s="13" t="s">
        <v>481</v>
      </c>
      <c r="C34" s="23" t="n">
        <v>0.48159160489083</v>
      </c>
      <c r="D34" s="23" t="n">
        <v>5.86819164617054</v>
      </c>
      <c r="E34" s="23" t="n">
        <v>0.34394116110299</v>
      </c>
      <c r="F34" s="23" t="n">
        <v>3.76063154551352</v>
      </c>
    </row>
    <row r="35" customFormat="false" ht="15" hidden="false" customHeight="false" outlineLevel="0" collapsed="false">
      <c r="A35" s="13" t="n">
        <v>2012</v>
      </c>
      <c r="B35" s="13" t="s">
        <v>482</v>
      </c>
      <c r="C35" s="23" t="n">
        <v>0.243718124328662</v>
      </c>
      <c r="D35" s="23" t="n">
        <v>5.5119970998226</v>
      </c>
      <c r="E35" s="23" t="n">
        <v>0.194640840470206</v>
      </c>
      <c r="F35" s="23" t="n">
        <v>3.53311479024776</v>
      </c>
    </row>
    <row r="36" customFormat="false" ht="15" hidden="false" customHeight="false" outlineLevel="0" collapsed="false">
      <c r="A36" s="13" t="n">
        <v>2012</v>
      </c>
      <c r="B36" s="13" t="s">
        <v>483</v>
      </c>
      <c r="C36" s="23" t="n">
        <v>0.167148518465221</v>
      </c>
      <c r="D36" s="23" t="n">
        <v>5.08770961227223</v>
      </c>
      <c r="E36" s="23" t="n">
        <v>0.193628515515365</v>
      </c>
      <c r="F36" s="23" t="n">
        <v>3.32553850119994</v>
      </c>
    </row>
    <row r="37" customFormat="false" ht="15" hidden="false" customHeight="false" outlineLevel="0" collapsed="false">
      <c r="A37" s="13" t="n">
        <v>2012</v>
      </c>
      <c r="B37" s="13" t="s">
        <v>484</v>
      </c>
      <c r="C37" s="23" t="n">
        <v>0.464850268488859</v>
      </c>
      <c r="D37" s="23" t="n">
        <v>5.28400784743215</v>
      </c>
      <c r="E37" s="23" t="n">
        <v>0.351846616074547</v>
      </c>
      <c r="F37" s="23" t="n">
        <v>3.45811854359368</v>
      </c>
    </row>
    <row r="38" customFormat="false" ht="15" hidden="false" customHeight="false" outlineLevel="0" collapsed="false">
      <c r="A38" s="13" t="n">
        <v>2012</v>
      </c>
      <c r="B38" s="13" t="s">
        <v>485</v>
      </c>
      <c r="C38" s="23" t="n">
        <v>0.601548929239559</v>
      </c>
      <c r="D38" s="23" t="n">
        <v>5.53603525933575</v>
      </c>
      <c r="E38" s="23" t="n">
        <v>0.374176962949857</v>
      </c>
      <c r="F38" s="23" t="n">
        <v>3.53755002603997</v>
      </c>
    </row>
    <row r="39" customFormat="false" ht="15" hidden="false" customHeight="false" outlineLevel="0" collapsed="false">
      <c r="A39" s="13" t="n">
        <v>2012</v>
      </c>
      <c r="B39" s="13" t="s">
        <v>486</v>
      </c>
      <c r="C39" s="23" t="n">
        <v>0.145213607632755</v>
      </c>
      <c r="D39" s="23" t="n">
        <v>5.1086527508539</v>
      </c>
      <c r="E39" s="23" t="n">
        <v>0.285282902808559</v>
      </c>
      <c r="F39" s="23" t="n">
        <v>3.58074475915997</v>
      </c>
    </row>
    <row r="40" customFormat="false" ht="15" hidden="false" customHeight="false" outlineLevel="0" collapsed="false">
      <c r="A40" s="13" t="n">
        <v>2012</v>
      </c>
      <c r="B40" s="13" t="s">
        <v>487</v>
      </c>
      <c r="C40" s="23" t="n">
        <v>0.382288343261505</v>
      </c>
      <c r="D40" s="23" t="n">
        <v>4.84040930572351</v>
      </c>
      <c r="E40" s="23" t="n">
        <v>0.433658311146279</v>
      </c>
      <c r="F40" s="23" t="n">
        <v>3.51939535770509</v>
      </c>
    </row>
    <row r="41" customFormat="false" ht="15" hidden="false" customHeight="false" outlineLevel="0" collapsed="false">
      <c r="A41" s="13" t="n">
        <v>2013</v>
      </c>
      <c r="B41" s="13" t="s">
        <v>476</v>
      </c>
      <c r="C41" s="23" t="n">
        <v>0.351819023442457</v>
      </c>
      <c r="D41" s="23" t="n">
        <v>4.56983289701691</v>
      </c>
      <c r="E41" s="23" t="n">
        <v>0.386037431675623</v>
      </c>
      <c r="F41" s="23" t="n">
        <v>3.50937041764095</v>
      </c>
    </row>
    <row r="42" customFormat="false" ht="15" hidden="false" customHeight="false" outlineLevel="0" collapsed="false">
      <c r="A42" s="13" t="n">
        <v>2013</v>
      </c>
      <c r="B42" s="13" t="s">
        <v>477</v>
      </c>
      <c r="C42" s="23" t="n">
        <v>0.570149402774911</v>
      </c>
      <c r="D42" s="23" t="n">
        <v>4.40189170986121</v>
      </c>
      <c r="E42" s="23" t="n">
        <v>0.337701186419404</v>
      </c>
      <c r="F42" s="23" t="n">
        <v>3.4431101455124</v>
      </c>
    </row>
    <row r="43" customFormat="false" ht="15" hidden="false" customHeight="false" outlineLevel="0" collapsed="false">
      <c r="A43" s="13" t="n">
        <v>2013</v>
      </c>
      <c r="B43" s="13" t="s">
        <v>478</v>
      </c>
      <c r="C43" s="23" t="n">
        <v>0.36482885203819</v>
      </c>
      <c r="D43" s="23" t="n">
        <v>4.54612729850172</v>
      </c>
      <c r="E43" s="23" t="n">
        <v>0.161757967828802</v>
      </c>
      <c r="F43" s="23" t="n">
        <v>3.51484754877589</v>
      </c>
    </row>
    <row r="44" customFormat="false" ht="15" hidden="false" customHeight="false" outlineLevel="0" collapsed="false">
      <c r="A44" s="13" t="n">
        <v>2013</v>
      </c>
      <c r="B44" s="13" t="s">
        <v>479</v>
      </c>
      <c r="C44" s="23" t="n">
        <v>0.350834420693325</v>
      </c>
      <c r="D44" s="23" t="n">
        <v>4.50565193180248</v>
      </c>
      <c r="E44" s="23" t="n">
        <v>0.189488200943644</v>
      </c>
      <c r="F44" s="23" t="n">
        <v>3.58295296403448</v>
      </c>
    </row>
    <row r="45" customFormat="false" ht="15" hidden="false" customHeight="false" outlineLevel="0" collapsed="false">
      <c r="A45" s="13" t="n">
        <v>2013</v>
      </c>
      <c r="B45" s="13" t="s">
        <v>480</v>
      </c>
      <c r="C45" s="23" t="n">
        <v>0.188943814540821</v>
      </c>
      <c r="D45" s="23" t="n">
        <v>4.39789930091241</v>
      </c>
      <c r="E45" s="23" t="n">
        <v>0.321561606496967</v>
      </c>
      <c r="F45" s="23" t="n">
        <v>3.63237299216124</v>
      </c>
    </row>
    <row r="46" customFormat="false" ht="15" hidden="false" customHeight="false" outlineLevel="0" collapsed="false">
      <c r="A46" s="13" t="n">
        <v>2013</v>
      </c>
      <c r="B46" s="13" t="s">
        <v>481</v>
      </c>
      <c r="C46" s="23" t="n">
        <v>0.439947008639585</v>
      </c>
      <c r="D46" s="23" t="n">
        <v>4.35463159091276</v>
      </c>
      <c r="E46" s="23" t="n">
        <v>0.367804341275413</v>
      </c>
      <c r="F46" s="23" t="n">
        <v>3.65701820700721</v>
      </c>
    </row>
    <row r="47" customFormat="false" ht="15" hidden="false" customHeight="false" outlineLevel="0" collapsed="false">
      <c r="A47" s="13" t="n">
        <v>2013</v>
      </c>
      <c r="B47" s="13" t="s">
        <v>482</v>
      </c>
      <c r="C47" s="23" t="n">
        <v>0.419647885527419</v>
      </c>
      <c r="D47" s="23" t="n">
        <v>4.53777608873558</v>
      </c>
      <c r="E47" s="23" t="n">
        <v>0.427942432692241</v>
      </c>
      <c r="F47" s="23" t="n">
        <v>3.89838188863552</v>
      </c>
    </row>
    <row r="48" customFormat="false" ht="15" hidden="false" customHeight="false" outlineLevel="0" collapsed="false">
      <c r="A48" s="13" t="n">
        <v>2013</v>
      </c>
      <c r="B48" s="13" t="s">
        <v>483</v>
      </c>
      <c r="C48" s="23" t="n">
        <v>0.0586207686429807</v>
      </c>
      <c r="D48" s="23" t="n">
        <v>4.4245129103569</v>
      </c>
      <c r="E48" s="23" t="n">
        <v>0.613688819312386</v>
      </c>
      <c r="F48" s="23" t="n">
        <v>4.33397431608613</v>
      </c>
    </row>
    <row r="49" customFormat="false" ht="15" hidden="false" customHeight="false" outlineLevel="0" collapsed="false">
      <c r="A49" s="13" t="n">
        <v>2013</v>
      </c>
      <c r="B49" s="13" t="s">
        <v>484</v>
      </c>
      <c r="C49" s="23" t="n">
        <v>0.188803493608147</v>
      </c>
      <c r="D49" s="23" t="n">
        <v>4.13758618991333</v>
      </c>
      <c r="E49" s="23" t="n">
        <v>0.387186239620019</v>
      </c>
      <c r="F49" s="23" t="n">
        <v>4.37071627450207</v>
      </c>
    </row>
    <row r="50" customFormat="false" ht="15" hidden="false" customHeight="false" outlineLevel="0" collapsed="false">
      <c r="A50" s="13" t="n">
        <v>2013</v>
      </c>
      <c r="B50" s="13" t="s">
        <v>485</v>
      </c>
      <c r="C50" s="23" t="n">
        <v>0.335453440076705</v>
      </c>
      <c r="D50" s="23" t="n">
        <v>3.86213772781328</v>
      </c>
      <c r="E50" s="23" t="n">
        <v>0.357128239926574</v>
      </c>
      <c r="F50" s="23" t="n">
        <v>4.35298873254513</v>
      </c>
    </row>
    <row r="51" customFormat="false" ht="15" hidden="false" customHeight="false" outlineLevel="0" collapsed="false">
      <c r="A51" s="13" t="n">
        <v>2013</v>
      </c>
      <c r="B51" s="13" t="s">
        <v>486</v>
      </c>
      <c r="C51" s="23" t="n">
        <v>0.124459912735819</v>
      </c>
      <c r="D51" s="23" t="n">
        <v>3.84061375237705</v>
      </c>
      <c r="E51" s="23" t="n">
        <v>0.122158371245362</v>
      </c>
      <c r="F51" s="23" t="n">
        <v>4.18324765078826</v>
      </c>
    </row>
    <row r="52" customFormat="false" ht="15" hidden="false" customHeight="false" outlineLevel="0" collapsed="false">
      <c r="A52" s="13" t="n">
        <v>2013</v>
      </c>
      <c r="B52" s="13" t="s">
        <v>487</v>
      </c>
      <c r="C52" s="23" t="n">
        <v>0.676090206842028</v>
      </c>
      <c r="D52" s="23" t="n">
        <v>4.14453754550148</v>
      </c>
      <c r="E52" s="23" t="n">
        <v>0.58173151916836</v>
      </c>
      <c r="F52" s="23" t="n">
        <v>4.33684902269107</v>
      </c>
    </row>
    <row r="53" customFormat="false" ht="15" hidden="false" customHeight="false" outlineLevel="0" collapsed="false">
      <c r="A53" s="13" t="n">
        <v>2014</v>
      </c>
      <c r="B53" s="13" t="s">
        <v>476</v>
      </c>
      <c r="C53" s="23" t="n">
        <v>0.393475881892202</v>
      </c>
      <c r="D53" s="23" t="n">
        <v>4.18776879233951</v>
      </c>
      <c r="E53" s="23" t="n">
        <v>0.596071505839002</v>
      </c>
      <c r="F53" s="23" t="n">
        <v>4.55514923700644</v>
      </c>
    </row>
    <row r="54" customFormat="false" ht="15" hidden="false" customHeight="false" outlineLevel="0" collapsed="false">
      <c r="A54" s="13" t="n">
        <v>2014</v>
      </c>
      <c r="B54" s="13" t="s">
        <v>477</v>
      </c>
      <c r="C54" s="23" t="n">
        <v>0.705035895713357</v>
      </c>
      <c r="D54" s="23" t="n">
        <v>4.32750730145912</v>
      </c>
      <c r="E54" s="23" t="n">
        <v>0.250016846014489</v>
      </c>
      <c r="F54" s="23" t="n">
        <v>4.46377930139519</v>
      </c>
    </row>
    <row r="55" customFormat="false" ht="15" hidden="false" customHeight="false" outlineLevel="0" collapsed="false">
      <c r="A55" s="13" t="n">
        <v>2014</v>
      </c>
      <c r="B55" s="13" t="s">
        <v>478</v>
      </c>
      <c r="C55" s="23" t="n">
        <v>0.30287098627011</v>
      </c>
      <c r="D55" s="23" t="n">
        <v>4.26310316938181</v>
      </c>
      <c r="E55" s="23" t="n">
        <v>0.130605166839626</v>
      </c>
      <c r="F55" s="23" t="n">
        <v>4.43128846464092</v>
      </c>
    </row>
    <row r="56" customFormat="false" ht="15" hidden="false" customHeight="false" outlineLevel="0" collapsed="false">
      <c r="A56" s="13" t="n">
        <v>2014</v>
      </c>
      <c r="B56" s="13" t="s">
        <v>479</v>
      </c>
      <c r="C56" s="23" t="n">
        <v>0.464658254939931</v>
      </c>
      <c r="D56" s="23" t="n">
        <v>4.38136452955584</v>
      </c>
      <c r="E56" s="23" t="n">
        <v>0.289791793258454</v>
      </c>
      <c r="F56" s="23" t="n">
        <v>4.53583868813401</v>
      </c>
    </row>
    <row r="57" customFormat="false" ht="15" hidden="false" customHeight="false" outlineLevel="0" collapsed="false">
      <c r="A57" s="13" t="n">
        <v>2014</v>
      </c>
      <c r="B57" s="13" t="s">
        <v>480</v>
      </c>
      <c r="C57" s="23" t="n">
        <v>0.276444197903314</v>
      </c>
      <c r="D57" s="23" t="n">
        <v>4.47252637900244</v>
      </c>
      <c r="E57" s="23" t="n">
        <v>0.272640700623805</v>
      </c>
      <c r="F57" s="23" t="n">
        <v>4.48486272800199</v>
      </c>
    </row>
    <row r="58" customFormat="false" ht="15" hidden="false" customHeight="false" outlineLevel="0" collapsed="false">
      <c r="A58" s="13" t="n">
        <v>2014</v>
      </c>
      <c r="B58" s="13" t="s">
        <v>481</v>
      </c>
      <c r="C58" s="23" t="n">
        <v>0.453444212848431</v>
      </c>
      <c r="D58" s="23" t="n">
        <v>4.48656548460482</v>
      </c>
      <c r="E58" s="23" t="n">
        <v>0.803665242591989</v>
      </c>
      <c r="F58" s="23" t="n">
        <v>4.93860251778275</v>
      </c>
    </row>
    <row r="59" customFormat="false" ht="15" hidden="false" customHeight="false" outlineLevel="0" collapsed="false">
      <c r="A59" s="13" t="n">
        <v>2014</v>
      </c>
      <c r="B59" s="13" t="s">
        <v>482</v>
      </c>
      <c r="C59" s="23" t="n">
        <v>0.289473130495055</v>
      </c>
      <c r="D59" s="23" t="n">
        <v>4.35111875328751</v>
      </c>
      <c r="E59" s="23" t="n">
        <v>0.387351432448368</v>
      </c>
      <c r="F59" s="23" t="n">
        <v>4.89618839739741</v>
      </c>
    </row>
    <row r="60" customFormat="false" ht="15" hidden="false" customHeight="false" outlineLevel="0" collapsed="false">
      <c r="A60" s="13" t="n">
        <v>2014</v>
      </c>
      <c r="B60" s="13" t="s">
        <v>483</v>
      </c>
      <c r="C60" s="23" t="n">
        <v>0.234963992228643</v>
      </c>
      <c r="D60" s="23" t="n">
        <v>4.53502707147502</v>
      </c>
      <c r="E60" s="23" t="n">
        <v>0.189927601363227</v>
      </c>
      <c r="F60" s="23" t="n">
        <v>4.45439029740593</v>
      </c>
    </row>
    <row r="61" customFormat="false" ht="15" hidden="false" customHeight="false" outlineLevel="0" collapsed="false">
      <c r="A61" s="13" t="n">
        <v>2014</v>
      </c>
      <c r="B61" s="13" t="s">
        <v>484</v>
      </c>
      <c r="C61" s="23" t="n">
        <v>0.241486282516812</v>
      </c>
      <c r="D61" s="23" t="n">
        <v>4.58999525726755</v>
      </c>
      <c r="E61" s="23" t="n">
        <v>0.0225941814585351</v>
      </c>
      <c r="F61" s="23" t="n">
        <v>4.07502672951361</v>
      </c>
    </row>
    <row r="62" customFormat="false" ht="15" hidden="false" customHeight="false" outlineLevel="0" collapsed="false">
      <c r="A62" s="13" t="n">
        <v>2014</v>
      </c>
      <c r="B62" s="13" t="s">
        <v>485</v>
      </c>
      <c r="C62" s="23" t="n">
        <v>0.329495758596865</v>
      </c>
      <c r="D62" s="23" t="n">
        <v>4.58378495117575</v>
      </c>
      <c r="E62" s="23" t="n">
        <v>0.153035276215774</v>
      </c>
      <c r="F62" s="23" t="n">
        <v>3.86337279893554</v>
      </c>
    </row>
    <row r="63" customFormat="false" ht="15" hidden="false" customHeight="false" outlineLevel="0" collapsed="false">
      <c r="A63" s="13" t="n">
        <v>2014</v>
      </c>
      <c r="B63" s="13" t="s">
        <v>486</v>
      </c>
      <c r="C63" s="23" t="n">
        <v>0.0844535424874504</v>
      </c>
      <c r="D63" s="23" t="n">
        <v>4.54199678446423</v>
      </c>
      <c r="E63" s="23" t="n">
        <v>0.144026656649943</v>
      </c>
      <c r="F63" s="23" t="n">
        <v>3.88605822558232</v>
      </c>
    </row>
    <row r="64" customFormat="false" ht="15" hidden="false" customHeight="false" outlineLevel="0" collapsed="false">
      <c r="A64" s="13" t="n">
        <v>2014</v>
      </c>
      <c r="B64" s="13" t="s">
        <v>487</v>
      </c>
      <c r="C64" s="23" t="n">
        <v>0.485233287702447</v>
      </c>
      <c r="D64" s="23" t="n">
        <v>4.34381106443886</v>
      </c>
      <c r="E64" s="23" t="n">
        <v>0.614018652895254</v>
      </c>
      <c r="F64" s="23" t="n">
        <v>3.91940606125416</v>
      </c>
    </row>
    <row r="66" customFormat="false" ht="54.75" hidden="false" customHeight="true" outlineLevel="0" collapsed="false">
      <c r="A66" s="29" t="s">
        <v>582</v>
      </c>
      <c r="B66" s="29"/>
      <c r="C66" s="29"/>
      <c r="D66" s="29"/>
      <c r="E66" s="29"/>
      <c r="F66" s="29"/>
    </row>
  </sheetData>
  <mergeCells count="2">
    <mergeCell ref="A1:F1"/>
    <mergeCell ref="A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4"/>
  </cols>
  <sheetData>
    <row r="1" customFormat="false" ht="15" hidden="false" customHeight="false" outlineLevel="0" collapsed="false">
      <c r="A1" s="1" t="s">
        <v>583</v>
      </c>
      <c r="B1" s="1"/>
      <c r="C1" s="1"/>
      <c r="D1" s="1"/>
      <c r="E1" s="1"/>
      <c r="F1" s="1"/>
    </row>
    <row r="3" customFormat="false" ht="39.75" hidden="false" customHeight="true" outlineLevel="0" collapsed="false">
      <c r="A3" s="5" t="s">
        <v>584</v>
      </c>
      <c r="B3" s="5"/>
      <c r="C3" s="5"/>
      <c r="D3" s="5"/>
      <c r="E3" s="5"/>
      <c r="F3" s="5"/>
    </row>
    <row r="5" customFormat="false" ht="15" hidden="false" customHeight="false" outlineLevel="0" collapsed="false">
      <c r="A5" s="10" t="s">
        <v>585</v>
      </c>
    </row>
    <row r="6" customFormat="false" ht="15" hidden="false" customHeight="false" outlineLevel="0" collapsed="false">
      <c r="A6" s="12" t="s">
        <v>405</v>
      </c>
      <c r="B6" s="12" t="n">
        <v>2012</v>
      </c>
      <c r="C6" s="12" t="n">
        <v>2013</v>
      </c>
      <c r="D6" s="12" t="n">
        <v>2014</v>
      </c>
    </row>
    <row r="7" customFormat="false" ht="15" hidden="false" customHeight="false" outlineLevel="0" collapsed="false">
      <c r="A7" s="22" t="s">
        <v>586</v>
      </c>
      <c r="B7" s="14" t="n">
        <v>14641.2184530633</v>
      </c>
      <c r="C7" s="14" t="n">
        <v>16952.8467378697</v>
      </c>
      <c r="D7" s="14" t="n">
        <v>17607.6961521053</v>
      </c>
    </row>
    <row r="8" customFormat="false" ht="15" hidden="false" customHeight="false" outlineLevel="0" collapsed="false">
      <c r="A8" s="22" t="s">
        <v>587</v>
      </c>
      <c r="B8" s="14" t="n">
        <v>5478522.81826</v>
      </c>
      <c r="C8" s="14" t="n">
        <v>6113447.97062</v>
      </c>
      <c r="D8" s="14" t="n">
        <v>6011097.37628</v>
      </c>
    </row>
    <row r="9" customFormat="false" ht="15" hidden="false" customHeight="false" outlineLevel="0" collapsed="false">
      <c r="A9" s="10" t="s">
        <v>588</v>
      </c>
      <c r="B9" s="18" t="n">
        <f aca="false">B8/(B7*1000)</f>
        <v>0.374184896962163</v>
      </c>
      <c r="C9" s="18" t="n">
        <f aca="false">C8/(C7*1000)</f>
        <v>0.360614831547061</v>
      </c>
      <c r="D9" s="18" t="n">
        <f aca="false">D8/(D7*1000)</f>
        <v>0.341390340016816</v>
      </c>
    </row>
    <row r="11" customFormat="false" ht="15" hidden="false" customHeight="false" outlineLevel="0" collapsed="false">
      <c r="A11" s="10" t="s">
        <v>589</v>
      </c>
    </row>
    <row r="12" customFormat="false" ht="15" hidden="false" customHeight="false" outlineLevel="0" collapsed="false">
      <c r="A12" s="12" t="s">
        <v>405</v>
      </c>
      <c r="B12" s="12" t="n">
        <v>2010</v>
      </c>
      <c r="C12" s="12" t="n">
        <v>2011</v>
      </c>
      <c r="D12" s="12" t="n">
        <v>2012</v>
      </c>
      <c r="E12" s="12" t="n">
        <v>2013</v>
      </c>
      <c r="F12" s="12" t="n">
        <v>2014</v>
      </c>
    </row>
    <row r="13" customFormat="false" ht="15" hidden="false" customHeight="false" outlineLevel="0" collapsed="false">
      <c r="A13" s="22" t="s">
        <v>590</v>
      </c>
      <c r="B13" s="24" t="n">
        <v>2797.77413855</v>
      </c>
      <c r="C13" s="24" t="n">
        <v>3884.88359331</v>
      </c>
      <c r="D13" s="24" t="n">
        <v>5478.52281826</v>
      </c>
      <c r="E13" s="24" t="n">
        <v>6113.44797062</v>
      </c>
      <c r="F13" s="24" t="n">
        <v>6011.09737628</v>
      </c>
    </row>
    <row r="14" customFormat="false" ht="15" hidden="false" customHeight="false" outlineLevel="0" collapsed="false">
      <c r="A14" s="10" t="s">
        <v>591</v>
      </c>
      <c r="B14" s="23" t="n">
        <v>315.889036167308</v>
      </c>
      <c r="C14" s="23" t="n">
        <v>404.387914605156</v>
      </c>
      <c r="D14" s="23" t="n">
        <v>488.046659015935</v>
      </c>
      <c r="E14" s="23" t="n">
        <v>470.951066979527</v>
      </c>
      <c r="F14" s="23" t="n">
        <v>446.441229997939</v>
      </c>
    </row>
    <row r="16" customFormat="false" ht="15" hidden="false" customHeight="false" outlineLevel="0" collapsed="false">
      <c r="A16" s="10" t="s">
        <v>592</v>
      </c>
    </row>
    <row r="17" customFormat="false" ht="15" hidden="false" customHeight="false" outlineLevel="0" collapsed="false">
      <c r="A17" s="22" t="s">
        <v>593</v>
      </c>
      <c r="B17" s="30" t="n">
        <f aca="false">B8/1000</f>
        <v>5478.52281826</v>
      </c>
    </row>
    <row r="18" customFormat="false" ht="15" hidden="false" customHeight="false" outlineLevel="0" collapsed="false">
      <c r="A18" s="22" t="s">
        <v>594</v>
      </c>
      <c r="B18" s="30" t="n">
        <f aca="false">D13</f>
        <v>5478.52281826</v>
      </c>
    </row>
    <row r="19" customFormat="false" ht="15" hidden="false" customHeight="false" outlineLevel="0" collapsed="false">
      <c r="A19" s="8" t="s">
        <v>595</v>
      </c>
      <c r="B19" s="31" t="n">
        <f aca="false">100*ABS(B17-B18)/B18</f>
        <v>0</v>
      </c>
    </row>
    <row r="21" customFormat="false" ht="54.75" hidden="false" customHeight="true" outlineLevel="0" collapsed="false">
      <c r="A21" s="5" t="s">
        <v>596</v>
      </c>
      <c r="B21" s="5"/>
      <c r="C21" s="5"/>
      <c r="D21" s="5"/>
      <c r="E21" s="5"/>
      <c r="F21" s="5"/>
    </row>
    <row r="23" customFormat="false" ht="15" hidden="false" customHeight="false" outlineLevel="0" collapsed="false">
      <c r="A23" s="10" t="s">
        <v>597</v>
      </c>
    </row>
    <row r="24" customFormat="false" ht="15" hidden="false" customHeight="false" outlineLevel="0" collapsed="false">
      <c r="A24" s="12" t="s">
        <v>405</v>
      </c>
      <c r="B24" s="12" t="n">
        <v>2010</v>
      </c>
      <c r="C24" s="12" t="n">
        <v>2011</v>
      </c>
      <c r="D24" s="12" t="n">
        <v>2012</v>
      </c>
      <c r="E24" s="12" t="n">
        <v>2013</v>
      </c>
      <c r="F24" s="12" t="n">
        <v>2014</v>
      </c>
    </row>
    <row r="25" customFormat="false" ht="15" hidden="false" customHeight="false" outlineLevel="0" collapsed="false">
      <c r="A25" s="27" t="s">
        <v>598</v>
      </c>
      <c r="B25" s="31" t="n">
        <f aca="false">B14</f>
        <v>315.889036167308</v>
      </c>
      <c r="C25" s="31" t="n">
        <f aca="false">C14</f>
        <v>404.387914605156</v>
      </c>
      <c r="D25" s="31" t="n">
        <f aca="false">D14</f>
        <v>488.046659015935</v>
      </c>
      <c r="E25" s="31" t="n">
        <f aca="false">E14</f>
        <v>470.951066979527</v>
      </c>
      <c r="F25" s="31" t="n">
        <f aca="false">F14</f>
        <v>446.441229997939</v>
      </c>
    </row>
    <row r="27" customFormat="false" ht="39.75" hidden="false" customHeight="true" outlineLevel="0" collapsed="false">
      <c r="A27" s="5" t="s">
        <v>599</v>
      </c>
      <c r="B27" s="5"/>
      <c r="C27" s="5"/>
      <c r="D27" s="5"/>
      <c r="E27" s="5"/>
      <c r="F27" s="5"/>
    </row>
  </sheetData>
  <mergeCells count="4">
    <mergeCell ref="A1:F1"/>
    <mergeCell ref="A3:F3"/>
    <mergeCell ref="A21:F21"/>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22"/>
  </cols>
  <sheetData>
    <row r="1" customFormat="false" ht="15" hidden="false" customHeight="false" outlineLevel="0" collapsed="false">
      <c r="A1" s="1" t="s">
        <v>600</v>
      </c>
      <c r="B1" s="1"/>
      <c r="C1" s="1"/>
      <c r="D1" s="1"/>
      <c r="E1" s="1"/>
      <c r="F1" s="1"/>
      <c r="G1" s="1"/>
      <c r="H1" s="1"/>
      <c r="I1" s="1"/>
      <c r="J1" s="1"/>
      <c r="K1" s="1"/>
      <c r="L1" s="1"/>
      <c r="M1" s="1"/>
      <c r="N1" s="1"/>
    </row>
    <row r="2" customFormat="false" ht="15" hidden="false" customHeight="false" outlineLevel="0" collapsed="false">
      <c r="A2" s="11" t="s">
        <v>601</v>
      </c>
    </row>
    <row r="4" customFormat="false" ht="15" hidden="false" customHeight="false" outlineLevel="0" collapsed="false">
      <c r="A4" s="12" t="s">
        <v>602</v>
      </c>
      <c r="B4" s="12" t="s">
        <v>603</v>
      </c>
      <c r="C4" s="12" t="s">
        <v>604</v>
      </c>
      <c r="D4" s="12" t="s">
        <v>605</v>
      </c>
      <c r="E4" s="12" t="s">
        <v>606</v>
      </c>
      <c r="F4" s="12" t="s">
        <v>607</v>
      </c>
    </row>
    <row r="5" customFormat="false" ht="15" hidden="false" customHeight="false" outlineLevel="0" collapsed="false">
      <c r="A5" s="13" t="s">
        <v>423</v>
      </c>
      <c r="B5" s="23" t="n">
        <v>162.868932397432</v>
      </c>
      <c r="C5" s="23" t="n">
        <v>174.195906640607</v>
      </c>
      <c r="D5" s="23" t="n">
        <v>278.474379037406</v>
      </c>
      <c r="E5" s="23" t="n">
        <v>156.418468652715</v>
      </c>
      <c r="F5" s="23" t="n">
        <v>169.166364740951</v>
      </c>
    </row>
    <row r="6" customFormat="false" ht="15" hidden="false" customHeight="false" outlineLevel="0" collapsed="false">
      <c r="A6" s="13" t="s">
        <v>424</v>
      </c>
      <c r="B6" s="23" t="n">
        <v>164.523027439079</v>
      </c>
      <c r="C6" s="23" t="n">
        <v>171.81078234813</v>
      </c>
      <c r="D6" s="23" t="n">
        <v>323.222616704291</v>
      </c>
      <c r="E6" s="23" t="n">
        <v>164.341306414062</v>
      </c>
      <c r="F6" s="23" t="n">
        <v>176.890886891348</v>
      </c>
    </row>
    <row r="7" customFormat="false" ht="15" hidden="false" customHeight="false" outlineLevel="0" collapsed="false">
      <c r="A7" s="13" t="s">
        <v>425</v>
      </c>
      <c r="B7" s="23" t="n">
        <v>164.752319298796</v>
      </c>
      <c r="C7" s="23" t="n">
        <v>166.64107496418</v>
      </c>
      <c r="D7" s="23" t="n">
        <v>352.683616368936</v>
      </c>
      <c r="E7" s="23" t="n">
        <v>161.772712388355</v>
      </c>
      <c r="F7" s="23" t="n">
        <v>171.578238170544</v>
      </c>
    </row>
    <row r="8" customFormat="false" ht="15" hidden="false" customHeight="false" outlineLevel="0" collapsed="false">
      <c r="A8" s="13" t="s">
        <v>426</v>
      </c>
      <c r="B8" s="23" t="n">
        <v>163.789302499892</v>
      </c>
      <c r="C8" s="23" t="n">
        <v>156.52578368661</v>
      </c>
      <c r="D8" s="23" t="n">
        <v>354.148064819614</v>
      </c>
      <c r="E8" s="23" t="n">
        <v>144.065384917215</v>
      </c>
      <c r="F8" s="23" t="n">
        <v>153.352323789203</v>
      </c>
    </row>
    <row r="9" customFormat="false" ht="15" hidden="false" customHeight="false" outlineLevel="0" collapsed="false">
      <c r="A9" s="13" t="s">
        <v>427</v>
      </c>
      <c r="B9" s="23" t="n">
        <v>164.062096716169</v>
      </c>
      <c r="C9" s="23" t="n">
        <v>156.757159690852</v>
      </c>
      <c r="D9" s="23" t="n">
        <v>283.69087581129</v>
      </c>
      <c r="E9" s="23" t="n">
        <v>148.126240352182</v>
      </c>
      <c r="F9" s="23" t="n">
        <v>160.345749562636</v>
      </c>
    </row>
    <row r="10" customFormat="false" ht="15" hidden="false" customHeight="false" outlineLevel="0" collapsed="false">
      <c r="A10" s="13" t="s">
        <v>428</v>
      </c>
      <c r="B10" s="23" t="n">
        <v>164.816071987992</v>
      </c>
      <c r="C10" s="23" t="n">
        <v>162.58998027926</v>
      </c>
      <c r="D10" s="23" t="n">
        <v>257.226067944797</v>
      </c>
      <c r="E10" s="23" t="n">
        <v>149.792329141432</v>
      </c>
      <c r="F10" s="23" t="n">
        <v>159.597373553727</v>
      </c>
    </row>
    <row r="11" customFormat="false" ht="15" hidden="false" customHeight="false" outlineLevel="0" collapsed="false">
      <c r="A11" s="13" t="s">
        <v>429</v>
      </c>
      <c r="B11" s="23" t="n">
        <v>166.319635325955</v>
      </c>
      <c r="C11" s="23" t="n">
        <v>177.764237982385</v>
      </c>
      <c r="D11" s="23" t="n">
        <v>262.48095451934</v>
      </c>
      <c r="E11" s="23" t="n">
        <v>147.95669121845</v>
      </c>
      <c r="F11" s="23" t="n">
        <v>157.32778716282</v>
      </c>
    </row>
    <row r="12" customFormat="false" ht="15" hidden="false" customHeight="false" outlineLevel="0" collapsed="false">
      <c r="A12" s="13" t="s">
        <v>430</v>
      </c>
      <c r="B12" s="23" t="n">
        <v>171.092299768379</v>
      </c>
      <c r="C12" s="23" t="n">
        <v>199.859463369174</v>
      </c>
      <c r="D12" s="23" t="n">
        <v>398.159270053887</v>
      </c>
      <c r="E12" s="23" t="n">
        <v>166.497267708347</v>
      </c>
      <c r="F12" s="23" t="n">
        <v>176.073537723736</v>
      </c>
    </row>
    <row r="13" customFormat="false" ht="15" hidden="false" customHeight="false" outlineLevel="0" collapsed="false">
      <c r="A13" s="13" t="s">
        <v>431</v>
      </c>
      <c r="B13" s="23" t="n">
        <v>175.943551795396</v>
      </c>
      <c r="C13" s="23" t="n">
        <v>245.357237558075</v>
      </c>
      <c r="D13" s="23" t="n">
        <v>505.991573648244</v>
      </c>
      <c r="E13" s="23" t="n">
        <v>177.762491162223</v>
      </c>
      <c r="F13" s="23" t="n">
        <v>186.26837336285</v>
      </c>
    </row>
    <row r="14" customFormat="false" ht="15" hidden="false" customHeight="false" outlineLevel="0" collapsed="false">
      <c r="A14" s="13" t="s">
        <v>432</v>
      </c>
      <c r="B14" s="23" t="n">
        <v>178.219605109251</v>
      </c>
      <c r="C14" s="23" t="n">
        <v>276.980983573662</v>
      </c>
      <c r="D14" s="23" t="n">
        <v>547.773690072866</v>
      </c>
      <c r="E14" s="23" t="n">
        <v>173.2001530398</v>
      </c>
      <c r="F14" s="23" t="n">
        <v>184.310255246769</v>
      </c>
    </row>
    <row r="15" customFormat="false" ht="15" hidden="false" customHeight="false" outlineLevel="0" collapsed="false">
      <c r="A15" s="13" t="s">
        <v>433</v>
      </c>
      <c r="B15" s="23" t="n">
        <v>177.521688747213</v>
      </c>
      <c r="C15" s="23" t="n">
        <v>264.513944795278</v>
      </c>
      <c r="D15" s="23" t="n">
        <v>530.121545074255</v>
      </c>
      <c r="E15" s="23" t="n">
        <v>172.812780427389</v>
      </c>
      <c r="F15" s="23" t="n">
        <v>182.349812596137</v>
      </c>
    </row>
    <row r="16" customFormat="false" ht="15" hidden="false" customHeight="false" outlineLevel="0" collapsed="false">
      <c r="A16" s="13" t="s">
        <v>434</v>
      </c>
      <c r="B16" s="23" t="n">
        <v>176.397560957819</v>
      </c>
      <c r="C16" s="23" t="n">
        <v>245.481587045367</v>
      </c>
      <c r="D16" s="23" t="n">
        <v>389.754113631265</v>
      </c>
      <c r="E16" s="23" t="n">
        <v>174.757797753444</v>
      </c>
      <c r="F16" s="23" t="n">
        <v>190.419058576564</v>
      </c>
    </row>
    <row r="18" customFormat="false" ht="69.75" hidden="false" customHeight="true" outlineLevel="0" collapsed="false">
      <c r="A18" s="29" t="s">
        <v>608</v>
      </c>
      <c r="B18" s="29"/>
      <c r="C18" s="29"/>
      <c r="D18" s="29"/>
      <c r="E18" s="29"/>
      <c r="F18" s="29"/>
    </row>
  </sheetData>
  <mergeCells count="2">
    <mergeCell ref="A1:N1"/>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5"/>
  </cols>
  <sheetData>
    <row r="1" customFormat="false" ht="15" hidden="false" customHeight="false" outlineLevel="0" collapsed="false">
      <c r="A1" s="1" t="s">
        <v>609</v>
      </c>
      <c r="B1" s="1"/>
      <c r="C1" s="1"/>
      <c r="D1" s="1"/>
      <c r="E1" s="1"/>
      <c r="F1" s="1"/>
    </row>
    <row r="3" customFormat="false" ht="39.75" hidden="false" customHeight="true" outlineLevel="0" collapsed="false">
      <c r="A3" s="29" t="s">
        <v>610</v>
      </c>
      <c r="B3" s="29"/>
      <c r="C3" s="29"/>
      <c r="D3" s="29"/>
      <c r="E3" s="29"/>
      <c r="F3" s="29"/>
    </row>
    <row r="5" customFormat="false" ht="15" hidden="false" customHeight="false" outlineLevel="0" collapsed="false">
      <c r="A5" s="10" t="s">
        <v>611</v>
      </c>
    </row>
    <row r="6" customFormat="false" ht="15" hidden="false" customHeight="false" outlineLevel="0" collapsed="false">
      <c r="A6" s="12" t="s">
        <v>405</v>
      </c>
      <c r="B6" s="12" t="n">
        <v>2010</v>
      </c>
      <c r="C6" s="12" t="n">
        <v>2011</v>
      </c>
      <c r="D6" s="12" t="n">
        <v>2012</v>
      </c>
      <c r="E6" s="12" t="n">
        <v>2013</v>
      </c>
      <c r="F6" s="12" t="n">
        <v>2014</v>
      </c>
    </row>
    <row r="7" customFormat="false" ht="15" hidden="false" customHeight="false" outlineLevel="0" collapsed="false">
      <c r="A7" s="10" t="s">
        <v>612</v>
      </c>
      <c r="B7" s="24" t="n">
        <v>679.5</v>
      </c>
      <c r="C7" s="24" t="n">
        <v>815.4</v>
      </c>
      <c r="D7" s="24" t="n">
        <v>1000</v>
      </c>
      <c r="E7" s="24" t="n">
        <v>1200</v>
      </c>
      <c r="F7" s="24" t="n">
        <v>1440</v>
      </c>
    </row>
    <row r="8" customFormat="false" ht="15" hidden="false" customHeight="false" outlineLevel="0" collapsed="false">
      <c r="A8" s="22" t="s">
        <v>613</v>
      </c>
      <c r="B8" s="13" t="s">
        <v>614</v>
      </c>
      <c r="C8" s="13" t="s">
        <v>615</v>
      </c>
      <c r="D8" s="13" t="s">
        <v>616</v>
      </c>
      <c r="E8" s="13" t="s">
        <v>617</v>
      </c>
      <c r="F8" s="13" t="s">
        <v>618</v>
      </c>
    </row>
    <row r="9" customFormat="false" ht="15" hidden="false" customHeight="false" outlineLevel="0" collapsed="false">
      <c r="A9" s="22" t="s">
        <v>619</v>
      </c>
      <c r="B9" s="13" t="s">
        <v>620</v>
      </c>
      <c r="C9" s="13" t="s">
        <v>621</v>
      </c>
      <c r="D9" s="13" t="s">
        <v>622</v>
      </c>
      <c r="E9" s="13" t="s">
        <v>623</v>
      </c>
      <c r="F9" s="13" t="s">
        <v>624</v>
      </c>
    </row>
    <row r="11" customFormat="false" ht="15" hidden="false" customHeight="false" outlineLevel="0" collapsed="false">
      <c r="A11" s="10" t="s">
        <v>625</v>
      </c>
    </row>
    <row r="12" customFormat="false" ht="15" hidden="false" customHeight="false" outlineLevel="0" collapsed="false">
      <c r="A12" s="12" t="s">
        <v>405</v>
      </c>
      <c r="B12" s="12" t="n">
        <v>2010</v>
      </c>
      <c r="C12" s="12" t="n">
        <v>2011</v>
      </c>
      <c r="D12" s="12" t="n">
        <v>2012</v>
      </c>
      <c r="E12" s="12" t="n">
        <v>2013</v>
      </c>
      <c r="F12" s="12" t="n">
        <v>2014</v>
      </c>
    </row>
    <row r="13" customFormat="false" ht="15" hidden="false" customHeight="false" outlineLevel="0" collapsed="false">
      <c r="A13" s="22" t="s">
        <v>626</v>
      </c>
      <c r="B13" s="32" t="s">
        <v>627</v>
      </c>
      <c r="C13" s="14" t="n">
        <v>5285784</v>
      </c>
      <c r="D13" s="14" t="n">
        <v>5023471</v>
      </c>
      <c r="E13" s="14" t="n">
        <v>5374336</v>
      </c>
      <c r="F13" s="14" t="n">
        <v>5550576</v>
      </c>
    </row>
    <row r="14" customFormat="false" ht="15" hidden="false" customHeight="false" outlineLevel="0" collapsed="false">
      <c r="A14" s="22" t="s">
        <v>628</v>
      </c>
      <c r="B14" s="32" t="s">
        <v>627</v>
      </c>
      <c r="C14" s="14" t="n">
        <v>5145679</v>
      </c>
      <c r="D14" s="14" t="n">
        <v>4907360</v>
      </c>
      <c r="E14" s="14" t="n">
        <v>5220916</v>
      </c>
      <c r="F14" s="14" t="n">
        <v>5420658</v>
      </c>
    </row>
    <row r="15" customFormat="false" ht="15" hidden="false" customHeight="false" outlineLevel="0" collapsed="false">
      <c r="A15" s="22" t="s">
        <v>629</v>
      </c>
      <c r="B15" s="32" t="s">
        <v>627</v>
      </c>
      <c r="C15" s="14" t="n">
        <v>140105</v>
      </c>
      <c r="D15" s="14" t="n">
        <v>116111</v>
      </c>
      <c r="E15" s="14" t="n">
        <v>153420</v>
      </c>
      <c r="F15" s="14" t="n">
        <v>129918</v>
      </c>
    </row>
    <row r="16" customFormat="false" ht="15" hidden="false" customHeight="false" outlineLevel="0" collapsed="false">
      <c r="A16" s="10" t="s">
        <v>630</v>
      </c>
      <c r="B16" s="32" t="s">
        <v>627</v>
      </c>
      <c r="C16" s="33" t="n">
        <v>2.65060017586795</v>
      </c>
      <c r="D16" s="33" t="n">
        <v>2.31136996710044</v>
      </c>
      <c r="E16" s="33" t="n">
        <v>2.85467823373901</v>
      </c>
      <c r="F16" s="33" t="n">
        <v>2.34062194626287</v>
      </c>
    </row>
    <row r="18" customFormat="false" ht="15" hidden="false" customHeight="false" outlineLevel="0" collapsed="false">
      <c r="A18" s="10" t="s">
        <v>631</v>
      </c>
    </row>
    <row r="19" customFormat="false" ht="15" hidden="false" customHeight="false" outlineLevel="0" collapsed="false">
      <c r="A19" s="12" t="s">
        <v>405</v>
      </c>
      <c r="B19" s="12" t="n">
        <v>2010</v>
      </c>
      <c r="C19" s="12" t="n">
        <v>2011</v>
      </c>
      <c r="D19" s="12" t="n">
        <v>2012</v>
      </c>
      <c r="E19" s="12" t="n">
        <v>2013</v>
      </c>
      <c r="F19" s="12" t="n">
        <v>2014</v>
      </c>
    </row>
    <row r="20" customFormat="false" ht="15" hidden="false" customHeight="false" outlineLevel="0" collapsed="false">
      <c r="A20" s="22" t="s">
        <v>632</v>
      </c>
      <c r="B20" s="32" t="s">
        <v>627</v>
      </c>
      <c r="C20" s="34" t="n">
        <v>45.1</v>
      </c>
      <c r="D20" s="34" t="n">
        <v>43.315</v>
      </c>
      <c r="E20" s="34" t="n">
        <v>38.914</v>
      </c>
      <c r="F20" s="34" t="n">
        <v>39.148</v>
      </c>
    </row>
    <row r="21" customFormat="false" ht="15" hidden="false" customHeight="false" outlineLevel="0" collapsed="false">
      <c r="A21" s="22" t="s">
        <v>633</v>
      </c>
      <c r="B21" s="32" t="s">
        <v>627</v>
      </c>
      <c r="C21" s="34" t="n">
        <v>20.987</v>
      </c>
      <c r="D21" s="34" t="n">
        <v>21.639</v>
      </c>
      <c r="E21" s="34" t="n">
        <v>18.688</v>
      </c>
      <c r="F21" s="34" t="n">
        <v>17.15</v>
      </c>
    </row>
    <row r="22" customFormat="false" ht="15" hidden="false" customHeight="false" outlineLevel="0" collapsed="false">
      <c r="A22" s="22" t="s">
        <v>634</v>
      </c>
      <c r="B22" s="32" t="s">
        <v>627</v>
      </c>
      <c r="C22" s="34" t="n">
        <v>0.46611</v>
      </c>
      <c r="D22" s="34" t="n">
        <v>0.47085</v>
      </c>
      <c r="E22" s="34" t="n">
        <v>0.47649</v>
      </c>
      <c r="F22" s="34" t="n">
        <v>0.48498</v>
      </c>
    </row>
    <row r="24" customFormat="false" ht="15" hidden="false" customHeight="false" outlineLevel="0" collapsed="false">
      <c r="A24" s="10" t="s">
        <v>635</v>
      </c>
    </row>
    <row r="25" customFormat="false" ht="15" hidden="false" customHeight="false" outlineLevel="0" collapsed="false">
      <c r="A25" s="12" t="s">
        <v>405</v>
      </c>
      <c r="B25" s="12" t="n">
        <v>2010</v>
      </c>
      <c r="C25" s="12" t="n">
        <v>2011</v>
      </c>
      <c r="D25" s="12" t="n">
        <v>2012</v>
      </c>
      <c r="E25" s="12" t="n">
        <v>2013</v>
      </c>
      <c r="F25" s="12" t="n">
        <v>2014</v>
      </c>
    </row>
    <row r="26" customFormat="false" ht="15" hidden="false" customHeight="false" outlineLevel="0" collapsed="false">
      <c r="A26" s="10" t="s">
        <v>636</v>
      </c>
      <c r="B26" s="16" t="n">
        <v>1360599</v>
      </c>
      <c r="C26" s="16" t="n">
        <v>1450135</v>
      </c>
      <c r="D26" s="16" t="n">
        <v>1551733</v>
      </c>
      <c r="E26" s="16" t="n">
        <v>1669939</v>
      </c>
      <c r="F26" s="16" t="n">
        <v>1794228</v>
      </c>
    </row>
    <row r="28" customFormat="false" ht="54.75" hidden="false" customHeight="true" outlineLevel="0" collapsed="false">
      <c r="A28" s="29" t="s">
        <v>637</v>
      </c>
      <c r="B28" s="29"/>
      <c r="C28" s="29"/>
      <c r="D28" s="29"/>
      <c r="E28" s="29"/>
      <c r="F28" s="29"/>
    </row>
  </sheetData>
  <mergeCells count="3">
    <mergeCell ref="A1:F1"/>
    <mergeCell ref="A3:F3"/>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6" min="3" style="0" width="18"/>
  </cols>
  <sheetData>
    <row r="1" customFormat="false" ht="15" hidden="false" customHeight="false" outlineLevel="0" collapsed="false">
      <c r="A1" s="1" t="s">
        <v>638</v>
      </c>
      <c r="B1" s="1"/>
      <c r="C1" s="1"/>
      <c r="D1" s="1"/>
      <c r="E1" s="1"/>
      <c r="F1" s="1"/>
      <c r="G1" s="1"/>
      <c r="H1" s="1"/>
      <c r="I1" s="1"/>
      <c r="J1" s="1"/>
      <c r="K1" s="1"/>
      <c r="L1" s="1"/>
      <c r="M1" s="1"/>
      <c r="N1" s="1"/>
    </row>
    <row r="2" customFormat="false" ht="15" hidden="false" customHeight="false" outlineLevel="0" collapsed="false">
      <c r="A2" s="11" t="s">
        <v>639</v>
      </c>
    </row>
    <row r="4" customFormat="false" ht="15" hidden="false" customHeight="false" outlineLevel="0" collapsed="false">
      <c r="A4" s="12" t="s">
        <v>405</v>
      </c>
      <c r="B4" s="12" t="s">
        <v>418</v>
      </c>
      <c r="C4" s="12" t="s">
        <v>640</v>
      </c>
      <c r="D4" s="12" t="s">
        <v>641</v>
      </c>
      <c r="E4" s="12" t="s">
        <v>642</v>
      </c>
      <c r="F4" s="12" t="s">
        <v>643</v>
      </c>
    </row>
    <row r="5" customFormat="false" ht="15" hidden="false" customHeight="false" outlineLevel="0" collapsed="false">
      <c r="A5" s="13" t="n">
        <v>2010</v>
      </c>
      <c r="B5" s="13" t="s">
        <v>476</v>
      </c>
      <c r="C5" s="35" t="n">
        <v>2414.6625</v>
      </c>
      <c r="D5" s="35" t="n">
        <v>17710.2</v>
      </c>
      <c r="E5" s="35" t="n">
        <v>17.787</v>
      </c>
      <c r="F5" s="35" t="n">
        <v>358.966610210526</v>
      </c>
    </row>
    <row r="6" customFormat="false" ht="15" hidden="false" customHeight="false" outlineLevel="0" collapsed="false">
      <c r="A6" s="13" t="n">
        <v>2010</v>
      </c>
      <c r="B6" s="13" t="s">
        <v>477</v>
      </c>
      <c r="C6" s="35" t="n">
        <v>2158.8</v>
      </c>
      <c r="D6" s="35" t="n">
        <v>16352.3</v>
      </c>
      <c r="E6" s="35" t="n">
        <v>15.873</v>
      </c>
      <c r="F6" s="35" t="n">
        <v>344.660740697368</v>
      </c>
    </row>
    <row r="7" customFormat="false" ht="15" hidden="false" customHeight="false" outlineLevel="0" collapsed="false">
      <c r="A7" s="13" t="n">
        <v>2010</v>
      </c>
      <c r="B7" s="13" t="s">
        <v>478</v>
      </c>
      <c r="C7" s="35" t="n">
        <v>2277.26304347826</v>
      </c>
      <c r="D7" s="35" t="n">
        <v>17509.1304347826</v>
      </c>
      <c r="E7" s="35" t="n">
        <v>17.1060869565217</v>
      </c>
      <c r="F7" s="35" t="n">
        <v>348.949327467391</v>
      </c>
    </row>
    <row r="8" customFormat="false" ht="15" hidden="false" customHeight="false" outlineLevel="0" collapsed="false">
      <c r="A8" s="13" t="n">
        <v>2010</v>
      </c>
      <c r="B8" s="13" t="s">
        <v>479</v>
      </c>
      <c r="C8" s="35" t="n">
        <v>2367.5</v>
      </c>
      <c r="D8" s="35" t="n">
        <v>18634.6</v>
      </c>
      <c r="E8" s="35" t="n">
        <v>18.0995</v>
      </c>
      <c r="F8" s="35" t="n">
        <v>357.63868</v>
      </c>
    </row>
    <row r="9" customFormat="false" ht="15" hidden="false" customHeight="false" outlineLevel="0" collapsed="false">
      <c r="A9" s="13" t="n">
        <v>2010</v>
      </c>
      <c r="B9" s="13" t="s">
        <v>480</v>
      </c>
      <c r="C9" s="35" t="n">
        <v>1969.78947368421</v>
      </c>
      <c r="D9" s="35" t="n">
        <v>17565.0263157895</v>
      </c>
      <c r="E9" s="35" t="n">
        <v>18.4184210526316</v>
      </c>
      <c r="F9" s="35" t="n">
        <v>349.0513711125</v>
      </c>
    </row>
    <row r="10" customFormat="false" ht="15" hidden="false" customHeight="false" outlineLevel="0" collapsed="false">
      <c r="A10" s="13" t="n">
        <v>2010</v>
      </c>
      <c r="B10" s="13" t="s">
        <v>481</v>
      </c>
      <c r="C10" s="35" t="n">
        <v>1746.51136363636</v>
      </c>
      <c r="D10" s="35" t="n">
        <v>17257.7272727273</v>
      </c>
      <c r="E10" s="35" t="n">
        <v>18.4547727272727</v>
      </c>
      <c r="F10" s="35" t="n">
        <v>348.5139945</v>
      </c>
    </row>
    <row r="11" customFormat="false" ht="15" hidden="false" customHeight="false" outlineLevel="0" collapsed="false">
      <c r="A11" s="13" t="n">
        <v>2010</v>
      </c>
      <c r="B11" s="13" t="s">
        <v>482</v>
      </c>
      <c r="C11" s="35" t="n">
        <v>1847.02727272727</v>
      </c>
      <c r="D11" s="35" t="n">
        <v>18206.5227272727</v>
      </c>
      <c r="E11" s="35" t="n">
        <v>17.9604545454546</v>
      </c>
      <c r="F11" s="35" t="n">
        <v>370.97576825</v>
      </c>
    </row>
    <row r="12" customFormat="false" ht="15" hidden="false" customHeight="false" outlineLevel="0" collapsed="false">
      <c r="A12" s="13" t="n">
        <v>2010</v>
      </c>
      <c r="B12" s="13" t="s">
        <v>483</v>
      </c>
      <c r="C12" s="35" t="n">
        <v>2047.47619047619</v>
      </c>
      <c r="D12" s="35" t="n">
        <v>20733.0714285714</v>
      </c>
      <c r="E12" s="35" t="n">
        <v>18.3571428571429</v>
      </c>
      <c r="F12" s="35" t="n">
        <v>379.462210909091</v>
      </c>
    </row>
    <row r="13" customFormat="false" ht="15" hidden="false" customHeight="false" outlineLevel="0" collapsed="false">
      <c r="A13" s="13" t="n">
        <v>2010</v>
      </c>
      <c r="B13" s="13" t="s">
        <v>484</v>
      </c>
      <c r="C13" s="35" t="n">
        <v>2150.94318181818</v>
      </c>
      <c r="D13" s="35" t="n">
        <v>22694.3636363636</v>
      </c>
      <c r="E13" s="35" t="n">
        <v>20.5497727272727</v>
      </c>
      <c r="F13" s="35" t="n">
        <v>390.23121675</v>
      </c>
    </row>
    <row r="14" customFormat="false" ht="15" hidden="false" customHeight="false" outlineLevel="0" collapsed="false">
      <c r="A14" s="13" t="n">
        <v>2010</v>
      </c>
      <c r="B14" s="13" t="s">
        <v>485</v>
      </c>
      <c r="C14" s="35" t="n">
        <v>2373.56190476191</v>
      </c>
      <c r="D14" s="35" t="n">
        <v>26237.0952380952</v>
      </c>
      <c r="E14" s="35" t="n">
        <v>23.3933333333333</v>
      </c>
      <c r="F14" s="35" t="n">
        <v>427.17613225</v>
      </c>
    </row>
    <row r="15" customFormat="false" ht="15" hidden="false" customHeight="false" outlineLevel="0" collapsed="false">
      <c r="A15" s="13" t="n">
        <v>2010</v>
      </c>
      <c r="B15" s="13" t="s">
        <v>486</v>
      </c>
      <c r="C15" s="35" t="n">
        <v>2283.29545454546</v>
      </c>
      <c r="D15" s="35" t="n">
        <v>25403.0909090909</v>
      </c>
      <c r="E15" s="35" t="n">
        <v>26.5409090909091</v>
      </c>
      <c r="F15" s="35" t="n">
        <v>459.961136</v>
      </c>
    </row>
    <row r="16" customFormat="false" ht="15" hidden="false" customHeight="false" outlineLevel="0" collapsed="false">
      <c r="A16" s="13" t="n">
        <v>2010</v>
      </c>
      <c r="B16" s="13" t="s">
        <v>487</v>
      </c>
      <c r="C16" s="35" t="n">
        <v>2287.32142857143</v>
      </c>
      <c r="D16" s="35" t="n">
        <v>26103.8571428571</v>
      </c>
      <c r="E16" s="35" t="n">
        <v>29.3490476190476</v>
      </c>
      <c r="F16" s="35" t="n">
        <v>483.755863022727</v>
      </c>
    </row>
    <row r="17" customFormat="false" ht="15" hidden="false" customHeight="false" outlineLevel="0" collapsed="false">
      <c r="A17" s="13" t="n">
        <v>2011</v>
      </c>
      <c r="B17" s="13" t="s">
        <v>476</v>
      </c>
      <c r="C17" s="35" t="n">
        <v>2375.8125</v>
      </c>
      <c r="D17" s="35" t="n">
        <v>27439.35</v>
      </c>
      <c r="E17" s="35" t="n">
        <v>28.4025</v>
      </c>
      <c r="F17" s="35" t="n">
        <v>511.104867</v>
      </c>
    </row>
    <row r="18" customFormat="false" ht="15" hidden="false" customHeight="false" outlineLevel="0" collapsed="false">
      <c r="A18" s="13" t="n">
        <v>2011</v>
      </c>
      <c r="B18" s="13" t="s">
        <v>477</v>
      </c>
      <c r="C18" s="35" t="n">
        <v>2473.45</v>
      </c>
      <c r="D18" s="35" t="n">
        <v>31619.65</v>
      </c>
      <c r="E18" s="35" t="n">
        <v>30.7785</v>
      </c>
      <c r="F18" s="35" t="n">
        <v>512.052467684211</v>
      </c>
    </row>
    <row r="19" customFormat="false" ht="15" hidden="false" customHeight="false" outlineLevel="0" collapsed="false">
      <c r="A19" s="13" t="n">
        <v>2011</v>
      </c>
      <c r="B19" s="13" t="s">
        <v>478</v>
      </c>
      <c r="C19" s="35" t="n">
        <v>2341.47826086957</v>
      </c>
      <c r="D19" s="35" t="n">
        <v>30590.9347826087</v>
      </c>
      <c r="E19" s="35" t="n">
        <v>35.8134782608696</v>
      </c>
      <c r="F19" s="35" t="n">
        <v>498.739813173913</v>
      </c>
    </row>
    <row r="20" customFormat="false" ht="15" hidden="false" customHeight="false" outlineLevel="0" collapsed="false">
      <c r="A20" s="13" t="n">
        <v>2011</v>
      </c>
      <c r="B20" s="13" t="s">
        <v>479</v>
      </c>
      <c r="C20" s="35" t="n">
        <v>2371.47777777778</v>
      </c>
      <c r="D20" s="35" t="n">
        <v>32347.6944444444</v>
      </c>
      <c r="E20" s="35" t="n">
        <v>41.9655555555556</v>
      </c>
      <c r="F20" s="35" t="n">
        <v>501.468831675</v>
      </c>
    </row>
    <row r="21" customFormat="false" ht="15" hidden="false" customHeight="false" outlineLevel="0" collapsed="false">
      <c r="A21" s="13" t="n">
        <v>2011</v>
      </c>
      <c r="B21" s="13" t="s">
        <v>480</v>
      </c>
      <c r="C21" s="35" t="n">
        <v>2159.6</v>
      </c>
      <c r="D21" s="35" t="n">
        <v>28571.4</v>
      </c>
      <c r="E21" s="35" t="n">
        <v>36.75</v>
      </c>
      <c r="F21" s="35" t="n">
        <v>498.76510775</v>
      </c>
    </row>
    <row r="22" customFormat="false" ht="15" hidden="false" customHeight="false" outlineLevel="0" collapsed="false">
      <c r="A22" s="13" t="n">
        <v>2011</v>
      </c>
      <c r="B22" s="13" t="s">
        <v>481</v>
      </c>
      <c r="C22" s="35" t="n">
        <v>2234.46590909091</v>
      </c>
      <c r="D22" s="35" t="n">
        <v>25519.6818181818</v>
      </c>
      <c r="E22" s="35" t="n">
        <v>35.795</v>
      </c>
      <c r="F22" s="35" t="n">
        <v>499.772775886364</v>
      </c>
    </row>
    <row r="23" customFormat="false" ht="15" hidden="false" customHeight="false" outlineLevel="0" collapsed="false">
      <c r="A23" s="13" t="n">
        <v>2011</v>
      </c>
      <c r="B23" s="13" t="s">
        <v>482</v>
      </c>
      <c r="C23" s="35" t="n">
        <v>2397.75476190476</v>
      </c>
      <c r="D23" s="35" t="n">
        <v>27398.0952380952</v>
      </c>
      <c r="E23" s="35" t="n">
        <v>37.9171428571429</v>
      </c>
      <c r="F23" s="35" t="n">
        <v>501.82708275</v>
      </c>
    </row>
    <row r="24" customFormat="false" ht="15" hidden="false" customHeight="false" outlineLevel="0" collapsed="false">
      <c r="A24" s="13" t="n">
        <v>2011</v>
      </c>
      <c r="B24" s="13" t="s">
        <v>483</v>
      </c>
      <c r="C24" s="35" t="n">
        <v>2199.23863636364</v>
      </c>
      <c r="D24" s="35" t="n">
        <v>24056.7272727273</v>
      </c>
      <c r="E24" s="35" t="n">
        <v>40.2981818181818</v>
      </c>
      <c r="F24" s="35" t="n">
        <v>501.423700826087</v>
      </c>
    </row>
    <row r="25" customFormat="false" ht="15" hidden="false" customHeight="false" outlineLevel="0" collapsed="false">
      <c r="A25" s="13" t="n">
        <v>2011</v>
      </c>
      <c r="B25" s="13" t="s">
        <v>484</v>
      </c>
      <c r="C25" s="35" t="n">
        <v>2075.22045454546</v>
      </c>
      <c r="D25" s="35" t="n">
        <v>22526.6022727273</v>
      </c>
      <c r="E25" s="35" t="n">
        <v>38.1545454545455</v>
      </c>
      <c r="F25" s="35" t="n">
        <v>490.90895475</v>
      </c>
    </row>
    <row r="26" customFormat="false" ht="15" hidden="false" customHeight="false" outlineLevel="0" collapsed="false">
      <c r="A26" s="13" t="n">
        <v>2011</v>
      </c>
      <c r="B26" s="13" t="s">
        <v>485</v>
      </c>
      <c r="C26" s="35" t="n">
        <v>1871.41666666667</v>
      </c>
      <c r="D26" s="35" t="n">
        <v>21868.6428571429</v>
      </c>
      <c r="E26" s="35" t="n">
        <v>31.9747619047619</v>
      </c>
      <c r="F26" s="35" t="n">
        <v>446.016027</v>
      </c>
    </row>
    <row r="27" customFormat="false" ht="15" hidden="false" customHeight="false" outlineLevel="0" collapsed="false">
      <c r="A27" s="13" t="n">
        <v>2011</v>
      </c>
      <c r="B27" s="13" t="s">
        <v>486</v>
      </c>
      <c r="C27" s="35" t="n">
        <v>1935.31818181818</v>
      </c>
      <c r="D27" s="35" t="n">
        <v>21291.7045454546</v>
      </c>
      <c r="E27" s="35" t="n">
        <v>33.0818181818182</v>
      </c>
      <c r="F27" s="35" t="n">
        <v>428.8252245</v>
      </c>
    </row>
    <row r="28" customFormat="false" ht="15" hidden="false" customHeight="false" outlineLevel="0" collapsed="false">
      <c r="A28" s="13" t="n">
        <v>2011</v>
      </c>
      <c r="B28" s="13" t="s">
        <v>487</v>
      </c>
      <c r="C28" s="35" t="n">
        <v>1911.15</v>
      </c>
      <c r="D28" s="35" t="n">
        <v>19386.9125</v>
      </c>
      <c r="E28" s="35" t="n">
        <v>30.4115</v>
      </c>
      <c r="F28" s="35" t="n">
        <v>420.04610475</v>
      </c>
    </row>
    <row r="29" customFormat="false" ht="15" hidden="false" customHeight="false" outlineLevel="0" collapsed="false">
      <c r="A29" s="13" t="n">
        <v>2012</v>
      </c>
      <c r="B29" s="13" t="s">
        <v>476</v>
      </c>
      <c r="C29" s="35" t="n">
        <v>1989.22619047619</v>
      </c>
      <c r="D29" s="35" t="n">
        <v>21547.7023809524</v>
      </c>
      <c r="E29" s="35" t="n">
        <v>30.7685714285714</v>
      </c>
      <c r="F29" s="35" t="n">
        <v>441.7327614</v>
      </c>
    </row>
    <row r="30" customFormat="false" ht="15" hidden="false" customHeight="false" outlineLevel="0" collapsed="false">
      <c r="A30" s="13" t="n">
        <v>2012</v>
      </c>
      <c r="B30" s="13" t="s">
        <v>477</v>
      </c>
      <c r="C30" s="35" t="n">
        <v>2057.78571428571</v>
      </c>
      <c r="D30" s="35" t="n">
        <v>24293.3095238095</v>
      </c>
      <c r="E30" s="35" t="n">
        <v>34.1404761904762</v>
      </c>
      <c r="F30" s="35" t="n">
        <v>461.55598755</v>
      </c>
    </row>
    <row r="31" customFormat="false" ht="15" hidden="false" customHeight="false" outlineLevel="0" collapsed="false">
      <c r="A31" s="13" t="n">
        <v>2012</v>
      </c>
      <c r="B31" s="13" t="s">
        <v>478</v>
      </c>
      <c r="C31" s="35" t="n">
        <v>2035.925</v>
      </c>
      <c r="D31" s="35" t="n">
        <v>22985.4318181818</v>
      </c>
      <c r="E31" s="35" t="n">
        <v>32.9531818181818</v>
      </c>
      <c r="F31" s="35" t="n">
        <v>496.290475227273</v>
      </c>
    </row>
    <row r="32" customFormat="false" ht="15" hidden="false" customHeight="false" outlineLevel="0" collapsed="false">
      <c r="A32" s="13" t="n">
        <v>2012</v>
      </c>
      <c r="B32" s="13" t="s">
        <v>479</v>
      </c>
      <c r="C32" s="35" t="n">
        <v>2002.68421052632</v>
      </c>
      <c r="D32" s="35" t="n">
        <v>22114.5263157895</v>
      </c>
      <c r="E32" s="35" t="n">
        <v>31.5523684210526</v>
      </c>
      <c r="F32" s="35" t="n">
        <v>529.42160145</v>
      </c>
    </row>
    <row r="33" customFormat="false" ht="15" hidden="false" customHeight="false" outlineLevel="0" collapsed="false">
      <c r="A33" s="13" t="n">
        <v>2012</v>
      </c>
      <c r="B33" s="13" t="s">
        <v>480</v>
      </c>
      <c r="C33" s="35" t="n">
        <v>1928.01136363636</v>
      </c>
      <c r="D33" s="35" t="n">
        <v>20295.3409090909</v>
      </c>
      <c r="E33" s="35" t="n">
        <v>28.6659090909091</v>
      </c>
      <c r="F33" s="35" t="n">
        <v>520.925455909091</v>
      </c>
    </row>
    <row r="34" customFormat="false" ht="15" hidden="false" customHeight="false" outlineLevel="0" collapsed="false">
      <c r="A34" s="13" t="n">
        <v>2012</v>
      </c>
      <c r="B34" s="13" t="s">
        <v>481</v>
      </c>
      <c r="C34" s="35" t="n">
        <v>1855.93421052632</v>
      </c>
      <c r="D34" s="35" t="n">
        <v>19255.3947368421</v>
      </c>
      <c r="E34" s="35" t="n">
        <v>28.0471052631579</v>
      </c>
      <c r="F34" s="35" t="n">
        <v>522.3291925</v>
      </c>
    </row>
    <row r="35" customFormat="false" ht="15" hidden="false" customHeight="false" outlineLevel="0" collapsed="false">
      <c r="A35" s="13" t="n">
        <v>2012</v>
      </c>
      <c r="B35" s="13" t="s">
        <v>482</v>
      </c>
      <c r="C35" s="35" t="n">
        <v>1847.75</v>
      </c>
      <c r="D35" s="35" t="n">
        <v>18546.0909090909</v>
      </c>
      <c r="E35" s="35" t="n">
        <v>27.4318181818182</v>
      </c>
      <c r="F35" s="35" t="n">
        <v>609.4467555</v>
      </c>
    </row>
    <row r="36" customFormat="false" ht="15" hidden="false" customHeight="false" outlineLevel="0" collapsed="false">
      <c r="A36" s="13" t="n">
        <v>2012</v>
      </c>
      <c r="B36" s="13" t="s">
        <v>483</v>
      </c>
      <c r="C36" s="35" t="n">
        <v>1816.31818181818</v>
      </c>
      <c r="D36" s="35" t="n">
        <v>18675.5568181818</v>
      </c>
      <c r="E36" s="35" t="n">
        <v>28.6968181818182</v>
      </c>
      <c r="F36" s="35" t="n">
        <v>622.913549771739</v>
      </c>
    </row>
    <row r="37" customFormat="false" ht="15" hidden="false" customHeight="false" outlineLevel="0" collapsed="false">
      <c r="A37" s="13" t="n">
        <v>2012</v>
      </c>
      <c r="B37" s="13" t="s">
        <v>484</v>
      </c>
      <c r="C37" s="35" t="n">
        <v>2009.85</v>
      </c>
      <c r="D37" s="35" t="n">
        <v>20771.2625</v>
      </c>
      <c r="E37" s="35" t="n">
        <v>33.6085</v>
      </c>
      <c r="F37" s="35" t="n">
        <v>615.18139725</v>
      </c>
    </row>
    <row r="38" customFormat="false" ht="15" hidden="false" customHeight="false" outlineLevel="0" collapsed="false">
      <c r="A38" s="13" t="n">
        <v>2012</v>
      </c>
      <c r="B38" s="13" t="s">
        <v>485</v>
      </c>
      <c r="C38" s="35" t="n">
        <v>1903.95869565217</v>
      </c>
      <c r="D38" s="35" t="n">
        <v>21233.6956521739</v>
      </c>
      <c r="E38" s="35" t="n">
        <v>33.1873913043478</v>
      </c>
      <c r="F38" s="35" t="n">
        <v>565.525481804348</v>
      </c>
    </row>
    <row r="39" customFormat="false" ht="15" hidden="false" customHeight="false" outlineLevel="0" collapsed="false">
      <c r="A39" s="13" t="n">
        <v>2012</v>
      </c>
      <c r="B39" s="13" t="s">
        <v>486</v>
      </c>
      <c r="C39" s="35" t="n">
        <v>1912.39772727273</v>
      </c>
      <c r="D39" s="35" t="n">
        <v>20713.0681818182</v>
      </c>
      <c r="E39" s="35" t="n">
        <v>32.7731818181818</v>
      </c>
      <c r="F39" s="35" t="n">
        <v>533.028608</v>
      </c>
    </row>
    <row r="40" customFormat="false" ht="15" hidden="false" customHeight="false" outlineLevel="0" collapsed="false">
      <c r="A40" s="13" t="n">
        <v>2012</v>
      </c>
      <c r="B40" s="13" t="s">
        <v>487</v>
      </c>
      <c r="C40" s="35" t="n">
        <v>2040.42894736842</v>
      </c>
      <c r="D40" s="35" t="n">
        <v>22880.8947368421</v>
      </c>
      <c r="E40" s="35" t="n">
        <v>31.9631578947368</v>
      </c>
      <c r="F40" s="35" t="n">
        <v>534.7907746125</v>
      </c>
    </row>
    <row r="41" customFormat="false" ht="15" hidden="false" customHeight="false" outlineLevel="0" collapsed="false">
      <c r="A41" s="13" t="n">
        <v>2013</v>
      </c>
      <c r="B41" s="13" t="s">
        <v>476</v>
      </c>
      <c r="C41" s="35" t="n">
        <v>2031.40909090909</v>
      </c>
      <c r="D41" s="35" t="n">
        <v>24598.8977272727</v>
      </c>
      <c r="E41" s="35" t="n">
        <v>31.1122727272727</v>
      </c>
      <c r="F41" s="35" t="n">
        <v>526.047305</v>
      </c>
    </row>
    <row r="42" customFormat="false" ht="15" hidden="false" customHeight="false" outlineLevel="0" collapsed="false">
      <c r="A42" s="13" t="n">
        <v>2013</v>
      </c>
      <c r="B42" s="13" t="s">
        <v>477</v>
      </c>
      <c r="C42" s="35" t="n">
        <v>2128.6875</v>
      </c>
      <c r="D42" s="35" t="n">
        <v>24211.7375</v>
      </c>
      <c r="E42" s="35" t="n">
        <v>30.32875</v>
      </c>
      <c r="F42" s="35" t="n">
        <v>536.375830144737</v>
      </c>
    </row>
    <row r="43" customFormat="false" ht="15" hidden="false" customHeight="false" outlineLevel="0" collapsed="false">
      <c r="A43" s="13" t="n">
        <v>2013</v>
      </c>
      <c r="B43" s="13" t="s">
        <v>478</v>
      </c>
      <c r="C43" s="35" t="n">
        <v>1929.15</v>
      </c>
      <c r="D43" s="35" t="n">
        <v>23302</v>
      </c>
      <c r="E43" s="35" t="n">
        <v>28.7985</v>
      </c>
      <c r="F43" s="35" t="n">
        <v>536.081397075</v>
      </c>
    </row>
    <row r="44" customFormat="false" ht="15" hidden="false" customHeight="false" outlineLevel="0" collapsed="false">
      <c r="A44" s="13" t="n">
        <v>2013</v>
      </c>
      <c r="B44" s="13" t="s">
        <v>479</v>
      </c>
      <c r="C44" s="35" t="n">
        <v>1855.6</v>
      </c>
      <c r="D44" s="35" t="n">
        <v>21589.6428571429</v>
      </c>
      <c r="E44" s="35" t="n">
        <v>25.1985714285714</v>
      </c>
      <c r="F44" s="35" t="n">
        <v>517.789715147727</v>
      </c>
    </row>
    <row r="45" customFormat="false" ht="15" hidden="false" customHeight="false" outlineLevel="0" collapsed="false">
      <c r="A45" s="13" t="n">
        <v>2013</v>
      </c>
      <c r="B45" s="13" t="s">
        <v>480</v>
      </c>
      <c r="C45" s="35" t="n">
        <v>1831.01190476191</v>
      </c>
      <c r="D45" s="35" t="n">
        <v>20781.6190476191</v>
      </c>
      <c r="E45" s="35" t="n">
        <v>23.0119047619048</v>
      </c>
      <c r="F45" s="35" t="n">
        <v>542.199223125</v>
      </c>
    </row>
    <row r="46" customFormat="false" ht="15" hidden="false" customHeight="false" outlineLevel="0" collapsed="false">
      <c r="A46" s="13" t="n">
        <v>2013</v>
      </c>
      <c r="B46" s="13" t="s">
        <v>481</v>
      </c>
      <c r="C46" s="35" t="n">
        <v>1839.0125</v>
      </c>
      <c r="D46" s="35" t="n">
        <v>20267.4</v>
      </c>
      <c r="E46" s="35" t="n">
        <v>21.109</v>
      </c>
      <c r="F46" s="35" t="n">
        <v>560.1577065</v>
      </c>
    </row>
    <row r="47" customFormat="false" ht="15" hidden="false" customHeight="false" outlineLevel="0" collapsed="false">
      <c r="A47" s="13" t="n">
        <v>2013</v>
      </c>
      <c r="B47" s="13" t="s">
        <v>482</v>
      </c>
      <c r="C47" s="35" t="n">
        <v>1837.61956521739</v>
      </c>
      <c r="D47" s="35" t="n">
        <v>19563.8260869565</v>
      </c>
      <c r="E47" s="35" t="n">
        <v>19.7102173913044</v>
      </c>
      <c r="F47" s="35" t="n">
        <v>548.349617454546</v>
      </c>
    </row>
    <row r="48" customFormat="false" ht="15" hidden="false" customHeight="false" outlineLevel="0" collapsed="false">
      <c r="A48" s="13" t="n">
        <v>2013</v>
      </c>
      <c r="B48" s="13" t="s">
        <v>483</v>
      </c>
      <c r="C48" s="35" t="n">
        <v>1896.39285714286</v>
      </c>
      <c r="D48" s="35" t="n">
        <v>21638.2142857143</v>
      </c>
      <c r="E48" s="35" t="n">
        <v>21.8383333333333</v>
      </c>
      <c r="F48" s="35" t="n">
        <v>498.048327238636</v>
      </c>
    </row>
    <row r="49" customFormat="false" ht="15" hidden="false" customHeight="false" outlineLevel="0" collapsed="false">
      <c r="A49" s="13" t="n">
        <v>2013</v>
      </c>
      <c r="B49" s="13" t="s">
        <v>484</v>
      </c>
      <c r="C49" s="35" t="n">
        <v>1846.88095238095</v>
      </c>
      <c r="D49" s="35" t="n">
        <v>22735.0714285714</v>
      </c>
      <c r="E49" s="35" t="n">
        <v>22.5638095238095</v>
      </c>
      <c r="F49" s="35" t="n">
        <v>503.2371222375</v>
      </c>
    </row>
    <row r="50" customFormat="false" ht="15" hidden="false" customHeight="false" outlineLevel="0" collapsed="false">
      <c r="A50" s="13" t="n">
        <v>2013</v>
      </c>
      <c r="B50" s="13" t="s">
        <v>485</v>
      </c>
      <c r="C50" s="35" t="n">
        <v>1884.83695652174</v>
      </c>
      <c r="D50" s="35" t="n">
        <v>23101.5869565217</v>
      </c>
      <c r="E50" s="35" t="n">
        <v>21.9169565217391</v>
      </c>
      <c r="F50" s="35" t="n">
        <v>472.827516913044</v>
      </c>
    </row>
    <row r="51" customFormat="false" ht="15" hidden="false" customHeight="false" outlineLevel="0" collapsed="false">
      <c r="A51" s="13" t="n">
        <v>2013</v>
      </c>
      <c r="B51" s="13" t="s">
        <v>486</v>
      </c>
      <c r="C51" s="35" t="n">
        <v>1866.41666666667</v>
      </c>
      <c r="D51" s="35" t="n">
        <v>22826.880952381</v>
      </c>
      <c r="E51" s="35" t="n">
        <v>20.7576190476191</v>
      </c>
      <c r="F51" s="35" t="n">
        <v>476.6622412125</v>
      </c>
    </row>
    <row r="52" customFormat="false" ht="15" hidden="false" customHeight="false" outlineLevel="0" collapsed="false">
      <c r="A52" s="13" t="n">
        <v>2013</v>
      </c>
      <c r="B52" s="13" t="s">
        <v>487</v>
      </c>
      <c r="C52" s="35" t="n">
        <v>1974.975</v>
      </c>
      <c r="D52" s="35" t="n">
        <v>22762.125</v>
      </c>
      <c r="E52" s="35" t="n">
        <v>19.609</v>
      </c>
      <c r="F52" s="35" t="n">
        <v>488.66933875</v>
      </c>
    </row>
    <row r="53" customFormat="false" ht="15" hidden="false" customHeight="false" outlineLevel="0" collapsed="false">
      <c r="A53" s="13" t="n">
        <v>2014</v>
      </c>
      <c r="B53" s="13" t="s">
        <v>476</v>
      </c>
      <c r="C53" s="35" t="n">
        <v>2036.93181818182</v>
      </c>
      <c r="D53" s="35" t="n">
        <v>22063.8636363636</v>
      </c>
      <c r="E53" s="35" t="n">
        <v>19.9063636363636</v>
      </c>
      <c r="F53" s="35" t="n">
        <v>476.1021185</v>
      </c>
    </row>
    <row r="54" customFormat="false" ht="15" hidden="false" customHeight="false" outlineLevel="0" collapsed="false">
      <c r="A54" s="13" t="n">
        <v>2014</v>
      </c>
      <c r="B54" s="13" t="s">
        <v>477</v>
      </c>
      <c r="C54" s="35" t="n">
        <v>2034.525</v>
      </c>
      <c r="D54" s="35" t="n">
        <v>22820.675</v>
      </c>
      <c r="E54" s="35" t="n">
        <v>20.82775</v>
      </c>
      <c r="F54" s="35" t="n">
        <v>496.798997486842</v>
      </c>
    </row>
    <row r="55" customFormat="false" ht="15" hidden="false" customHeight="false" outlineLevel="0" collapsed="false">
      <c r="A55" s="13" t="n">
        <v>2014</v>
      </c>
      <c r="B55" s="13" t="s">
        <v>478</v>
      </c>
      <c r="C55" s="35" t="n">
        <v>2007.90476190476</v>
      </c>
      <c r="D55" s="35" t="n">
        <v>23024.3095238095</v>
      </c>
      <c r="E55" s="35" t="n">
        <v>20.7357142857143</v>
      </c>
      <c r="F55" s="35" t="n">
        <v>522.00112375</v>
      </c>
    </row>
    <row r="56" customFormat="false" ht="15" hidden="false" customHeight="false" outlineLevel="0" collapsed="false">
      <c r="A56" s="13" t="n">
        <v>2014</v>
      </c>
      <c r="B56" s="13" t="s">
        <v>479</v>
      </c>
      <c r="C56" s="35" t="n">
        <v>2027.2125</v>
      </c>
      <c r="D56" s="35" t="n">
        <v>23405.2</v>
      </c>
      <c r="E56" s="35" t="n">
        <v>19.7095</v>
      </c>
      <c r="F56" s="35" t="n">
        <v>547.18805525</v>
      </c>
    </row>
    <row r="57" customFormat="false" ht="15" hidden="false" customHeight="false" outlineLevel="0" collapsed="false">
      <c r="A57" s="13" t="n">
        <v>2014</v>
      </c>
      <c r="B57" s="13" t="s">
        <v>480</v>
      </c>
      <c r="C57" s="35" t="n">
        <v>2058.975</v>
      </c>
      <c r="D57" s="35" t="n">
        <v>23271.25</v>
      </c>
      <c r="E57" s="35" t="n">
        <v>19.36025</v>
      </c>
      <c r="F57" s="35" t="n">
        <v>546.03325325</v>
      </c>
    </row>
    <row r="58" customFormat="false" ht="15" hidden="false" customHeight="false" outlineLevel="0" collapsed="false">
      <c r="A58" s="13" t="n">
        <v>2014</v>
      </c>
      <c r="B58" s="13" t="s">
        <v>481</v>
      </c>
      <c r="C58" s="35" t="n">
        <v>2128.09523809524</v>
      </c>
      <c r="D58" s="35" t="n">
        <v>22762</v>
      </c>
      <c r="E58" s="35" t="n">
        <v>19.7809523809524</v>
      </c>
      <c r="F58" s="35" t="n">
        <v>528.00259475</v>
      </c>
    </row>
    <row r="59" customFormat="false" ht="15" hidden="false" customHeight="false" outlineLevel="0" collapsed="false">
      <c r="A59" s="13" t="n">
        <v>2014</v>
      </c>
      <c r="B59" s="13" t="s">
        <v>482</v>
      </c>
      <c r="C59" s="35" t="n">
        <v>2310.61956521739</v>
      </c>
      <c r="D59" s="35" t="n">
        <v>22424.0108695652</v>
      </c>
      <c r="E59" s="35" t="n">
        <v>20.9245652173913</v>
      </c>
      <c r="F59" s="35" t="n">
        <v>463.233671488636</v>
      </c>
    </row>
    <row r="60" customFormat="false" ht="15" hidden="false" customHeight="false" outlineLevel="0" collapsed="false">
      <c r="A60" s="13" t="n">
        <v>2014</v>
      </c>
      <c r="B60" s="13" t="s">
        <v>483</v>
      </c>
      <c r="C60" s="35" t="n">
        <v>2326.9875</v>
      </c>
      <c r="D60" s="35" t="n">
        <v>22231.05</v>
      </c>
      <c r="E60" s="35" t="n">
        <v>19.8005</v>
      </c>
      <c r="F60" s="35" t="n">
        <v>432.98513625</v>
      </c>
    </row>
    <row r="61" customFormat="false" ht="15" hidden="false" customHeight="false" outlineLevel="0" collapsed="false">
      <c r="A61" s="13" t="n">
        <v>2014</v>
      </c>
      <c r="B61" s="13" t="s">
        <v>484</v>
      </c>
      <c r="C61" s="35" t="n">
        <v>2294.59090909091</v>
      </c>
      <c r="D61" s="35" t="n">
        <v>21090.5227272727</v>
      </c>
      <c r="E61" s="35" t="n">
        <v>18.4913636363636</v>
      </c>
      <c r="F61" s="35" t="n">
        <v>368.84988275</v>
      </c>
    </row>
    <row r="62" customFormat="false" ht="15" hidden="false" customHeight="false" outlineLevel="0" collapsed="false">
      <c r="A62" s="13" t="n">
        <v>2014</v>
      </c>
      <c r="B62" s="13" t="s">
        <v>485</v>
      </c>
      <c r="C62" s="35" t="n">
        <v>2276.82608695652</v>
      </c>
      <c r="D62" s="35" t="n">
        <v>19830.4130434783</v>
      </c>
      <c r="E62" s="35" t="n">
        <v>17.19</v>
      </c>
      <c r="F62" s="35" t="n">
        <v>354.440913065217</v>
      </c>
    </row>
    <row r="63" customFormat="false" ht="15" hidden="false" customHeight="false" outlineLevel="0" collapsed="false">
      <c r="A63" s="13" t="n">
        <v>2014</v>
      </c>
      <c r="B63" s="13" t="s">
        <v>486</v>
      </c>
      <c r="C63" s="35" t="n">
        <v>2253.225</v>
      </c>
      <c r="D63" s="35" t="n">
        <v>20033.475</v>
      </c>
      <c r="E63" s="35" t="n">
        <v>15.973</v>
      </c>
      <c r="F63" s="35" t="n">
        <v>379.344859618421</v>
      </c>
    </row>
    <row r="64" customFormat="false" ht="15" hidden="false" customHeight="false" outlineLevel="0" collapsed="false">
      <c r="A64" s="13" t="n">
        <v>2014</v>
      </c>
      <c r="B64" s="13" t="s">
        <v>487</v>
      </c>
      <c r="C64" s="35" t="n">
        <v>2175.76190476191</v>
      </c>
      <c r="D64" s="35" t="n">
        <v>19829.7142857143</v>
      </c>
      <c r="E64" s="35" t="n">
        <v>16.24</v>
      </c>
      <c r="F64" s="35" t="n">
        <v>378.781617375</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13" min="2" style="0" width="9"/>
  </cols>
  <sheetData>
    <row r="1" customFormat="false" ht="15" hidden="false" customHeight="false" outlineLevel="0" collapsed="false">
      <c r="A1" s="1" t="s">
        <v>644</v>
      </c>
      <c r="B1" s="1"/>
      <c r="C1" s="1"/>
      <c r="D1" s="1"/>
      <c r="E1" s="1"/>
      <c r="F1" s="1"/>
      <c r="G1" s="1"/>
      <c r="H1" s="1"/>
      <c r="I1" s="1"/>
      <c r="J1" s="1"/>
      <c r="K1" s="1"/>
      <c r="L1" s="1"/>
      <c r="M1" s="1"/>
      <c r="N1" s="1"/>
    </row>
    <row r="2" customFormat="false" ht="15" hidden="false" customHeight="false" outlineLevel="0" collapsed="false">
      <c r="A2" s="11" t="s">
        <v>645</v>
      </c>
    </row>
    <row r="4" customFormat="false" ht="15" hidden="false" customHeight="false" outlineLevel="0" collapsed="false">
      <c r="A4" s="12" t="s">
        <v>405</v>
      </c>
      <c r="B4" s="12" t="s">
        <v>646</v>
      </c>
      <c r="C4" s="12" t="s">
        <v>647</v>
      </c>
      <c r="D4" s="12" t="s">
        <v>648</v>
      </c>
      <c r="E4" s="12" t="s">
        <v>649</v>
      </c>
      <c r="F4" s="12" t="s">
        <v>650</v>
      </c>
      <c r="G4" s="12" t="s">
        <v>651</v>
      </c>
      <c r="H4" s="12" t="s">
        <v>652</v>
      </c>
      <c r="I4" s="12" t="s">
        <v>653</v>
      </c>
      <c r="J4" s="12" t="s">
        <v>654</v>
      </c>
      <c r="K4" s="12" t="s">
        <v>655</v>
      </c>
      <c r="L4" s="12" t="s">
        <v>656</v>
      </c>
      <c r="M4" s="12" t="s">
        <v>657</v>
      </c>
    </row>
    <row r="5" customFormat="false" ht="15" hidden="false" customHeight="false" outlineLevel="0" collapsed="false">
      <c r="A5" s="13" t="n">
        <v>2010</v>
      </c>
      <c r="B5" s="23" t="n">
        <v>1.5</v>
      </c>
      <c r="C5" s="23" t="n">
        <v>1.22</v>
      </c>
      <c r="D5" s="23" t="n">
        <v>0.84</v>
      </c>
      <c r="E5" s="23" t="n">
        <v>0.35</v>
      </c>
      <c r="F5" s="23" t="n">
        <v>-0.17</v>
      </c>
      <c r="G5" s="23" t="n">
        <v>-0.66</v>
      </c>
      <c r="H5" s="23" t="n">
        <v>-1.05</v>
      </c>
      <c r="I5" s="23" t="n">
        <v>-1.35</v>
      </c>
      <c r="J5" s="23" t="n">
        <v>-1.56</v>
      </c>
      <c r="K5" s="23" t="n">
        <v>-1.64</v>
      </c>
      <c r="L5" s="23" t="n">
        <v>-1.64</v>
      </c>
      <c r="M5" s="23" t="n">
        <v>-1.54</v>
      </c>
    </row>
    <row r="6" customFormat="false" ht="15" hidden="false" customHeight="false" outlineLevel="0" collapsed="false">
      <c r="A6" s="13" t="n">
        <v>2011</v>
      </c>
      <c r="B6" s="23" t="n">
        <v>-1.31</v>
      </c>
      <c r="C6" s="23" t="n">
        <v>-1.04</v>
      </c>
      <c r="D6" s="23" t="n">
        <v>-0.8</v>
      </c>
      <c r="E6" s="23" t="n">
        <v>-0.62</v>
      </c>
      <c r="F6" s="23" t="n">
        <v>-0.46</v>
      </c>
      <c r="G6" s="23" t="n">
        <v>-0.37</v>
      </c>
      <c r="H6" s="23" t="n">
        <v>-0.43</v>
      </c>
      <c r="I6" s="23" t="n">
        <v>-0.58</v>
      </c>
      <c r="J6" s="23" t="n">
        <v>-0.79</v>
      </c>
      <c r="K6" s="23" t="n">
        <v>-0.96</v>
      </c>
      <c r="L6" s="23" t="n">
        <v>-1.02</v>
      </c>
      <c r="M6" s="23" t="n">
        <v>-0.92</v>
      </c>
    </row>
    <row r="7" customFormat="false" ht="15" hidden="false" customHeight="false" outlineLevel="0" collapsed="false">
      <c r="A7" s="13" t="n">
        <v>2012</v>
      </c>
      <c r="B7" s="23" t="n">
        <v>-0.72</v>
      </c>
      <c r="C7" s="23" t="n">
        <v>-0.57</v>
      </c>
      <c r="D7" s="23" t="n">
        <v>-0.46</v>
      </c>
      <c r="E7" s="23" t="n">
        <v>-0.36</v>
      </c>
      <c r="F7" s="23" t="n">
        <v>-0.17</v>
      </c>
      <c r="G7" s="23" t="n">
        <v>0.06</v>
      </c>
      <c r="H7" s="23" t="n">
        <v>0.3</v>
      </c>
      <c r="I7" s="23" t="n">
        <v>0.41</v>
      </c>
      <c r="J7" s="23" t="n">
        <v>0.41</v>
      </c>
      <c r="K7" s="23" t="n">
        <v>0.31</v>
      </c>
      <c r="L7" s="23" t="n">
        <v>0.13</v>
      </c>
      <c r="M7" s="23" t="n">
        <v>-0.1</v>
      </c>
    </row>
    <row r="8" customFormat="false" ht="15" hidden="false" customHeight="false" outlineLevel="0" collapsed="false">
      <c r="A8" s="13" t="n">
        <v>2013</v>
      </c>
      <c r="B8" s="23" t="n">
        <v>-0.29</v>
      </c>
      <c r="C8" s="23" t="n">
        <v>-0.29</v>
      </c>
      <c r="D8" s="23" t="n">
        <v>-0.21</v>
      </c>
      <c r="E8" s="23" t="n">
        <v>-0.19</v>
      </c>
      <c r="F8" s="23" t="n">
        <v>-0.27</v>
      </c>
      <c r="G8" s="23" t="n">
        <v>-0.34</v>
      </c>
      <c r="H8" s="23" t="n">
        <v>-0.35</v>
      </c>
      <c r="I8" s="23" t="n">
        <v>-0.28</v>
      </c>
      <c r="J8" s="23" t="n">
        <v>-0.21</v>
      </c>
      <c r="K8" s="23" t="n">
        <v>-0.13</v>
      </c>
      <c r="L8" s="23" t="n">
        <v>-0.1</v>
      </c>
      <c r="M8" s="23" t="n">
        <v>-0.15</v>
      </c>
    </row>
    <row r="9" customFormat="false" ht="15" hidden="false" customHeight="false" outlineLevel="0" collapsed="false">
      <c r="A9" s="13" t="n">
        <v>2014</v>
      </c>
      <c r="B9" s="23" t="n">
        <v>-0.28</v>
      </c>
      <c r="C9" s="23" t="n">
        <v>-0.32</v>
      </c>
      <c r="D9" s="23" t="n">
        <v>-0.14</v>
      </c>
      <c r="E9" s="23" t="n">
        <v>0.15</v>
      </c>
      <c r="F9" s="23" t="n">
        <v>0.31</v>
      </c>
      <c r="G9" s="23" t="n">
        <v>0.23</v>
      </c>
      <c r="H9" s="23" t="n">
        <v>0.1</v>
      </c>
      <c r="I9" s="23" t="n">
        <v>0.11</v>
      </c>
      <c r="J9" s="23" t="n">
        <v>0.28</v>
      </c>
      <c r="K9" s="23" t="n">
        <v>0.54</v>
      </c>
      <c r="L9" s="23" t="n">
        <v>0.71</v>
      </c>
      <c r="M9" s="23" t="n">
        <v>0.77</v>
      </c>
    </row>
    <row r="12" customFormat="false" ht="84.75" hidden="false" customHeight="true" outlineLevel="0" collapsed="false">
      <c r="A12" s="29" t="s">
        <v>658</v>
      </c>
      <c r="B12" s="29"/>
      <c r="C12" s="29"/>
      <c r="D12" s="29"/>
      <c r="E12" s="29"/>
      <c r="F12" s="29"/>
      <c r="G12" s="29"/>
      <c r="H12" s="29"/>
      <c r="I12" s="29"/>
      <c r="J12" s="29"/>
      <c r="K12" s="29"/>
      <c r="L12" s="29"/>
      <c r="M12" s="29"/>
      <c r="N12" s="29"/>
    </row>
  </sheetData>
  <mergeCells count="2">
    <mergeCell ref="A1:N1"/>
    <mergeCell ref="A12:N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2026-07-27T03:29:17Z</dcterms:created>
  <dc:creator>openpyxl</dc:creator>
  <dc:description/>
  <dc:language>en-US</dc:language>
  <cp:lastModifiedBy/>
  <dcterms:modified xsi:type="dcterms:W3CDTF">2026-07-27T03:29:18Z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